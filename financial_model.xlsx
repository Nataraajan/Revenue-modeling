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apacity &amp; Bookings" sheetId="2" state="visible" r:id="rId4"/>
    <sheet name="Revenue Recognition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<sst xmlns="http://schemas.openxmlformats.org/spreadsheetml/2006/main" count="143" uniqueCount="128">
  <si>
    <t xml:space="preserve">Revenue Architecture Model — MidMarket Scenario</t>
  </si>
  <si>
    <t xml:space="preserve">Blue = input (edit these). Black = formula. Green = link to another sheet.</t>
  </si>
  <si>
    <t xml:space="preserve">Horizon (months)</t>
  </si>
  <si>
    <t xml:space="preserve">Contract term (months)</t>
  </si>
  <si>
    <t xml:space="preserve">Implementation lag (months)</t>
  </si>
  <si>
    <t xml:space="preserve">AE — annual base ($)</t>
  </si>
  <si>
    <t xml:space="preserve">AE — annual variable @ 100% ($)</t>
  </si>
  <si>
    <t xml:space="preserve">AE — annual quota ($)</t>
  </si>
  <si>
    <t xml:space="preserve">BDR — annual base ($)</t>
  </si>
  <si>
    <t xml:space="preserve">BDR — annual variable @ 100% ($)</t>
  </si>
  <si>
    <t xml:space="preserve">BDR — monthly SQL quota</t>
  </si>
  <si>
    <t xml:space="preserve">Marketing leads/month</t>
  </si>
  <si>
    <t xml:space="preserve">Lead → MQL rate</t>
  </si>
  <si>
    <t xml:space="preserve">MQL → SQL rate</t>
  </si>
  <si>
    <t xml:space="preserve">AE self-sourced SQLs/month (per AE)</t>
  </si>
  <si>
    <t xml:space="preserve">Avg deal size — TCV ($)</t>
  </si>
  <si>
    <t xml:space="preserve">Win rate — marketing-sourced</t>
  </si>
  <si>
    <t xml:space="preserve">Win rate — BDR-sourced</t>
  </si>
  <si>
    <t xml:space="preserve">Win rate — AE self-sourced</t>
  </si>
  <si>
    <t xml:space="preserve">Execution efficiency</t>
  </si>
  <si>
    <t xml:space="preserve">Renewal — annual gross churn rate</t>
  </si>
  <si>
    <t xml:space="preserve">Renewal — annual expansion rate</t>
  </si>
  <si>
    <t xml:space="preserve">Renewal — annual contraction rate</t>
  </si>
  <si>
    <t xml:space="preserve">Capacity &amp; Bookings</t>
  </si>
  <si>
    <t xml:space="preserve">Month →</t>
  </si>
  <si>
    <t xml:space="preserve">AE Roster</t>
  </si>
  <si>
    <t xml:space="preserve">AE-1 (existing)</t>
  </si>
  <si>
    <t xml:space="preserve">Instant</t>
  </si>
  <si>
    <t xml:space="preserve">Ramp %:</t>
  </si>
  <si>
    <t xml:space="preserve">AE-2 (existing)</t>
  </si>
  <si>
    <t xml:space="preserve">AE-3 (new hire)</t>
  </si>
  <si>
    <t xml:space="preserve">Standard</t>
  </si>
  <si>
    <t xml:space="preserve">AE $ Capacity by Rep</t>
  </si>
  <si>
    <t xml:space="preserve">Total AE $ Capacity</t>
  </si>
  <si>
    <t xml:space="preserve">AE Self-Sourced SQLs by Rep</t>
  </si>
  <si>
    <t xml:space="preserve">Total AE Self-Sourced SQLs</t>
  </si>
  <si>
    <t xml:space="preserve">BDR Roster</t>
  </si>
  <si>
    <t xml:space="preserve">BDR-1 (existing)</t>
  </si>
  <si>
    <t xml:space="preserve">BDR-2 (existing)</t>
  </si>
  <si>
    <t xml:space="preserve">BDR SQLs by Rep</t>
  </si>
  <si>
    <t xml:space="preserve">Total BDR SQLs</t>
  </si>
  <si>
    <t xml:space="preserve">Marketing SQLs</t>
  </si>
  <si>
    <t xml:space="preserve">Demand-Constrained Bookings ($)</t>
  </si>
  <si>
    <t xml:space="preserve">Actual Bookings ($)</t>
  </si>
  <si>
    <t xml:space="preserve">Revenue Recognition — Cohort Waterfall</t>
  </si>
  <si>
    <t xml:space="preserve">Each row is one booking-month cohort. Gen 1 rows are the renewal of the Gen 0 cohort signed in the same original month, if it renews within the 24-month horizon. ARR = TCV since contract term = 12 months in this scenario.</t>
  </si>
  <si>
    <t xml:space="preserve">Cohort</t>
  </si>
  <si>
    <t xml:space="preserve">Signed Mo.</t>
  </si>
  <si>
    <t xml:space="preserve">Go-Live Mo.</t>
  </si>
  <si>
    <t xml:space="preserve">Rec. End Mo.</t>
  </si>
  <si>
    <t xml:space="preserve">Cohort ARR</t>
  </si>
  <si>
    <t xml:space="preserve">Churned $</t>
  </si>
  <si>
    <t xml:space="preserve">Retained $</t>
  </si>
  <si>
    <t xml:space="preserve">Expansion $</t>
  </si>
  <si>
    <t xml:space="preserve">Contraction $</t>
  </si>
  <si>
    <t xml:space="preserve">Gen 0 — Month 1</t>
  </si>
  <si>
    <t xml:space="preserve">Gen 0 — Month 2</t>
  </si>
  <si>
    <t xml:space="preserve">Gen 0 — Month 3</t>
  </si>
  <si>
    <t xml:space="preserve">Gen 0 — Month 4</t>
  </si>
  <si>
    <t xml:space="preserve">Gen 0 — Month 5</t>
  </si>
  <si>
    <t xml:space="preserve">Gen 0 — Month 6</t>
  </si>
  <si>
    <t xml:space="preserve">Gen 0 — Month 7</t>
  </si>
  <si>
    <t xml:space="preserve">Gen 0 — Month 8</t>
  </si>
  <si>
    <t xml:space="preserve">Gen 0 — Month 9</t>
  </si>
  <si>
    <t xml:space="preserve">Gen 0 — Month 10</t>
  </si>
  <si>
    <t xml:space="preserve">Gen 0 — Month 11</t>
  </si>
  <si>
    <t xml:space="preserve">Gen 0 — Month 12</t>
  </si>
  <si>
    <t xml:space="preserve">Gen 0 — Month 13</t>
  </si>
  <si>
    <t xml:space="preserve">Gen 0 — Month 14</t>
  </si>
  <si>
    <t xml:space="preserve">Gen 0 — Month 15</t>
  </si>
  <si>
    <t xml:space="preserve">Gen 0 — Month 16</t>
  </si>
  <si>
    <t xml:space="preserve">Gen 0 — Month 17</t>
  </si>
  <si>
    <t xml:space="preserve">Gen 0 — Month 18</t>
  </si>
  <si>
    <t xml:space="preserve">Gen 0 — Month 19</t>
  </si>
  <si>
    <t xml:space="preserve">Gen 0 — Month 20</t>
  </si>
  <si>
    <t xml:space="preserve">Gen 0 — Month 21</t>
  </si>
  <si>
    <t xml:space="preserve">Gen 0 — Month 22</t>
  </si>
  <si>
    <t xml:space="preserve">Gen 0 — Month 23</t>
  </si>
  <si>
    <t xml:space="preserve">Gen 0 — Month 24</t>
  </si>
  <si>
    <t xml:space="preserve">Renewal Generation 1</t>
  </si>
  <si>
    <t xml:space="preserve">Gen 1 — renews Gen0 Mo.1</t>
  </si>
  <si>
    <t xml:space="preserve">Gen 1 — renews Gen0 Mo.2</t>
  </si>
  <si>
    <t xml:space="preserve">Gen 1 — renews Gen0 Mo.3</t>
  </si>
  <si>
    <t xml:space="preserve">Gen 1 — renews Gen0 Mo.4</t>
  </si>
  <si>
    <t xml:space="preserve">Gen 1 — renews Gen0 Mo.5</t>
  </si>
  <si>
    <t xml:space="preserve">Gen 1 — renews Gen0 Mo.6</t>
  </si>
  <si>
    <t xml:space="preserve">Gen 1 — renews Gen0 Mo.7</t>
  </si>
  <si>
    <t xml:space="preserve">Gen 1 — renews Gen0 Mo.8</t>
  </si>
  <si>
    <t xml:space="preserve">Gen 1 — renews Gen0 Mo.9</t>
  </si>
  <si>
    <t xml:space="preserve">Gen 1 — renews Gen0 Mo.10</t>
  </si>
  <si>
    <t xml:space="preserve">Gen 1 — renews Gen0 Mo.11</t>
  </si>
  <si>
    <t xml:space="preserve">Gen 1 — renews Gen0 Mo.12</t>
  </si>
  <si>
    <t xml:space="preserve">Gen 1 — renews Gen0 Mo.13</t>
  </si>
  <si>
    <t xml:space="preserve">Gen 1 — renews Gen0 Mo.14</t>
  </si>
  <si>
    <t xml:space="preserve">Gen 1 — renews Gen0 Mo.15</t>
  </si>
  <si>
    <t xml:space="preserve">Gen 1 — renews Gen0 Mo.16</t>
  </si>
  <si>
    <t xml:space="preserve">Gen 1 — renews Gen0 Mo.17</t>
  </si>
  <si>
    <t xml:space="preserve">Gen 1 — renews Gen0 Mo.18</t>
  </si>
  <si>
    <t xml:space="preserve">Gen 1 — renews Gen0 Mo.19</t>
  </si>
  <si>
    <t xml:space="preserve">Gen 1 — renews Gen0 Mo.20</t>
  </si>
  <si>
    <t xml:space="preserve">Gen 1 — renews Gen0 Mo.21</t>
  </si>
  <si>
    <t xml:space="preserve">Gen 1 — renews Gen0 Mo.22</t>
  </si>
  <si>
    <t xml:space="preserve">Gen 1 — renews Gen0 Mo.23</t>
  </si>
  <si>
    <t xml:space="preserve">Gen 1 — renews Gen0 Mo.24</t>
  </si>
  <si>
    <t xml:space="preserve">Total Recognized Revenue</t>
  </si>
  <si>
    <t xml:space="preserve">Live ARR</t>
  </si>
  <si>
    <t xml:space="preserve">Annual Summary</t>
  </si>
  <si>
    <t xml:space="preserve">'New ARR' sums Gen0 cohorts by GO-LIVE month, not signed month — matches the same definition used in the Python model and dashboard. Logo-count/LTV metrics are out of scope for this Excel version (would need a per-cohort account-count column — a reasonable v2 extension, not built here).</t>
  </si>
  <si>
    <t xml:space="preserve">Metric</t>
  </si>
  <si>
    <t xml:space="preserve">Year 1</t>
  </si>
  <si>
    <t xml:space="preserve">Year 2</t>
  </si>
  <si>
    <t xml:space="preserve">Beginning ARR</t>
  </si>
  <si>
    <t xml:space="preserve">New ARR (went live)</t>
  </si>
  <si>
    <t xml:space="preserve">Expansion ARR</t>
  </si>
  <si>
    <t xml:space="preserve">Contraction ARR</t>
  </si>
  <si>
    <t xml:space="preserve">Churned ARR</t>
  </si>
  <si>
    <t xml:space="preserve">Other / Boundary Effect</t>
  </si>
  <si>
    <t xml:space="preserve">Ending ARR</t>
  </si>
  <si>
    <t xml:space="preserve">Net Revenue Retention (NRR)</t>
  </si>
  <si>
    <t xml:space="preserve">Gross $ Churn Rate</t>
  </si>
  <si>
    <t xml:space="preserve">Total Revenue Recognized</t>
  </si>
  <si>
    <t xml:space="preserve">ARR Bridge — Year 2</t>
  </si>
  <si>
    <t xml:space="preserve">+ New ARR</t>
  </si>
  <si>
    <t xml:space="preserve">+ Expansion ARR</t>
  </si>
  <si>
    <t xml:space="preserve">- Contraction ARR</t>
  </si>
  <si>
    <t xml:space="preserve">- Churned ARR</t>
  </si>
  <si>
    <t xml:space="preserve">+/- Other / Boundary</t>
  </si>
  <si>
    <t xml:space="preserve">Ending ARR (total)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</si>
</sst>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;&quot;($&quot;#,##0\);\-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9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2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0" t="s">
        <v>2</v>
      </c>
      <c r="B4" s="3" t="n">
        <v>24</v>
      </c>
    </row>
    <row r="5" customFormat="false" ht="15" hidden="false" customHeight="false" outlineLevel="0" collapsed="false">
      <c r="A5" s="0" t="s">
        <v>3</v>
      </c>
      <c r="B5" s="3" t="n">
        <v>12</v>
      </c>
    </row>
    <row r="6" customFormat="false" ht="15" hidden="false" customHeight="false" outlineLevel="0" collapsed="false">
      <c r="A6" s="0" t="s">
        <v>4</v>
      </c>
      <c r="B6" s="3" t="n">
        <v>2</v>
      </c>
    </row>
    <row r="8" customFormat="false" ht="15" hidden="false" customHeight="false" outlineLevel="0" collapsed="false">
      <c r="A8" s="0" t="s">
        <v>5</v>
      </c>
      <c r="B8" s="4" t="n">
        <v>95000</v>
      </c>
    </row>
    <row r="9" customFormat="false" ht="15" hidden="false" customHeight="false" outlineLevel="0" collapsed="false">
      <c r="A9" s="0" t="s">
        <v>6</v>
      </c>
      <c r="B9" s="4" t="n">
        <v>95000</v>
      </c>
    </row>
    <row r="10" customFormat="false" ht="15" hidden="false" customHeight="false" outlineLevel="0" collapsed="false">
      <c r="A10" s="0" t="s">
        <v>7</v>
      </c>
      <c r="B10" s="4" t="n">
        <v>1100000</v>
      </c>
    </row>
    <row r="11" customFormat="false" ht="15" hidden="false" customHeight="false" outlineLevel="0" collapsed="false">
      <c r="A11" s="0" t="s">
        <v>8</v>
      </c>
      <c r="B11" s="4" t="n">
        <v>55000</v>
      </c>
    </row>
    <row r="12" customFormat="false" ht="15" hidden="false" customHeight="false" outlineLevel="0" collapsed="false">
      <c r="A12" s="0" t="s">
        <v>9</v>
      </c>
      <c r="B12" s="4" t="n">
        <v>30000</v>
      </c>
    </row>
    <row r="13" customFormat="false" ht="15" hidden="false" customHeight="false" outlineLevel="0" collapsed="false">
      <c r="A13" s="0" t="s">
        <v>10</v>
      </c>
      <c r="B13" s="3" t="n">
        <v>6</v>
      </c>
    </row>
    <row r="15" customFormat="false" ht="15" hidden="false" customHeight="false" outlineLevel="0" collapsed="false">
      <c r="A15" s="0" t="s">
        <v>11</v>
      </c>
      <c r="B15" s="3" t="n">
        <v>500</v>
      </c>
    </row>
    <row r="16" customFormat="false" ht="15" hidden="false" customHeight="false" outlineLevel="0" collapsed="false">
      <c r="A16" s="0" t="s">
        <v>12</v>
      </c>
      <c r="B16" s="5" t="n">
        <v>0.3</v>
      </c>
    </row>
    <row r="17" customFormat="false" ht="15" hidden="false" customHeight="false" outlineLevel="0" collapsed="false">
      <c r="A17" s="0" t="s">
        <v>13</v>
      </c>
      <c r="B17" s="5" t="n">
        <v>0.25</v>
      </c>
    </row>
    <row r="18" customFormat="false" ht="15" hidden="false" customHeight="false" outlineLevel="0" collapsed="false">
      <c r="A18" s="0" t="s">
        <v>14</v>
      </c>
      <c r="B18" s="3" t="n">
        <v>2</v>
      </c>
    </row>
    <row r="20" customFormat="false" ht="15" hidden="false" customHeight="false" outlineLevel="0" collapsed="false">
      <c r="A20" s="0" t="s">
        <v>15</v>
      </c>
      <c r="B20" s="4" t="n">
        <v>18000</v>
      </c>
    </row>
    <row r="21" customFormat="false" ht="15" hidden="false" customHeight="false" outlineLevel="0" collapsed="false">
      <c r="A21" s="0" t="s">
        <v>16</v>
      </c>
      <c r="B21" s="5" t="n">
        <v>0.25</v>
      </c>
    </row>
    <row r="22" customFormat="false" ht="15" hidden="false" customHeight="false" outlineLevel="0" collapsed="false">
      <c r="A22" s="0" t="s">
        <v>17</v>
      </c>
      <c r="B22" s="5" t="n">
        <v>0.2</v>
      </c>
    </row>
    <row r="23" customFormat="false" ht="15" hidden="false" customHeight="false" outlineLevel="0" collapsed="false">
      <c r="A23" s="0" t="s">
        <v>18</v>
      </c>
      <c r="B23" s="5" t="n">
        <v>0.35</v>
      </c>
    </row>
    <row r="24" customFormat="false" ht="15" hidden="false" customHeight="false" outlineLevel="0" collapsed="false">
      <c r="A24" s="0" t="s">
        <v>19</v>
      </c>
      <c r="B24" s="5" t="n">
        <v>1</v>
      </c>
    </row>
    <row r="26" customFormat="false" ht="15" hidden="false" customHeight="false" outlineLevel="0" collapsed="false">
      <c r="A26" s="0" t="s">
        <v>20</v>
      </c>
      <c r="B26" s="5" t="n">
        <v>0.12</v>
      </c>
    </row>
    <row r="27" customFormat="false" ht="15" hidden="false" customHeight="false" outlineLevel="0" collapsed="false">
      <c r="A27" s="0" t="s">
        <v>21</v>
      </c>
      <c r="B27" s="5" t="n">
        <v>0.18</v>
      </c>
    </row>
    <row r="28" customFormat="false" ht="15" hidden="false" customHeight="false" outlineLevel="0" collapsed="false">
      <c r="A28" s="0" t="s">
        <v>22</v>
      </c>
      <c r="B28" s="5" t="n"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0"/>
  </cols>
  <sheetData>
    <row r="1" customFormat="false" ht="17.35" hidden="false" customHeight="false" outlineLevel="0" collapsed="false">
      <c r="A1" s="1" t="s">
        <v>23</v>
      </c>
    </row>
    <row r="3" customFormat="false" ht="15" hidden="false" customHeight="false" outlineLevel="0" collapsed="false">
      <c r="D3" s="6" t="s">
        <v>24</v>
      </c>
      <c r="E3" s="7" t="n">
        <v>1</v>
      </c>
      <c r="F3" s="7" t="n">
        <v>2</v>
      </c>
      <c r="G3" s="7" t="n">
        <v>3</v>
      </c>
      <c r="H3" s="7" t="n">
        <v>4</v>
      </c>
      <c r="I3" s="7" t="n">
        <v>5</v>
      </c>
      <c r="J3" s="7" t="n">
        <v>6</v>
      </c>
      <c r="K3" s="7" t="n">
        <v>7</v>
      </c>
      <c r="L3" s="7" t="n">
        <v>8</v>
      </c>
      <c r="M3" s="7" t="n">
        <v>9</v>
      </c>
      <c r="N3" s="7" t="n">
        <v>10</v>
      </c>
      <c r="O3" s="7" t="n">
        <v>11</v>
      </c>
      <c r="P3" s="7" t="n">
        <v>12</v>
      </c>
      <c r="Q3" s="7" t="n">
        <v>13</v>
      </c>
      <c r="R3" s="7" t="n">
        <v>14</v>
      </c>
      <c r="S3" s="7" t="n">
        <v>15</v>
      </c>
      <c r="T3" s="7" t="n">
        <v>16</v>
      </c>
      <c r="U3" s="7" t="n">
        <v>17</v>
      </c>
      <c r="V3" s="7" t="n">
        <v>18</v>
      </c>
      <c r="W3" s="7" t="n">
        <v>19</v>
      </c>
      <c r="X3" s="7" t="n">
        <v>20</v>
      </c>
      <c r="Y3" s="7" t="n">
        <v>21</v>
      </c>
      <c r="Z3" s="7" t="n">
        <v>22</v>
      </c>
      <c r="AA3" s="7" t="n">
        <v>23</v>
      </c>
      <c r="AB3" s="7" t="n">
        <v>24</v>
      </c>
    </row>
    <row r="5" customFormat="false" ht="15" hidden="false" customHeight="false" outlineLevel="0" collapsed="false">
      <c r="A5" s="6" t="s">
        <v>25</v>
      </c>
    </row>
    <row r="6" customFormat="false" ht="15" hidden="false" customHeight="false" outlineLevel="0" collapsed="false">
      <c r="A6" s="0" t="s">
        <v>26</v>
      </c>
      <c r="B6" s="8" t="n">
        <v>1</v>
      </c>
      <c r="C6" s="8" t="s">
        <v>27</v>
      </c>
      <c r="D6" s="2" t="s">
        <v>28</v>
      </c>
      <c r="E6" s="9" t="n">
        <f aca="false">IF(E$3&lt;$B6,0,IF($C6="Instant",1,IF(E$3-$B6&gt;=2,1,IF(E$3-$B6=1,0.66,0.33))))</f>
        <v>1</v>
      </c>
      <c r="F6" s="9" t="n">
        <f aca="false">IF(F$3&lt;$B6,0,IF($C6="Instant",1,IF(F$3-$B6&gt;=2,1,IF(F$3-$B6=1,0.66,0.33))))</f>
        <v>1</v>
      </c>
      <c r="G6" s="9" t="n">
        <f aca="false">IF(G$3&lt;$B6,0,IF($C6="Instant",1,IF(G$3-$B6&gt;=2,1,IF(G$3-$B6=1,0.66,0.33))))</f>
        <v>1</v>
      </c>
      <c r="H6" s="9" t="n">
        <f aca="false">IF(H$3&lt;$B6,0,IF($C6="Instant",1,IF(H$3-$B6&gt;=2,1,IF(H$3-$B6=1,0.66,0.33))))</f>
        <v>1</v>
      </c>
      <c r="I6" s="9" t="n">
        <f aca="false">IF(I$3&lt;$B6,0,IF($C6="Instant",1,IF(I$3-$B6&gt;=2,1,IF(I$3-$B6=1,0.66,0.33))))</f>
        <v>1</v>
      </c>
      <c r="J6" s="9" t="n">
        <f aca="false">IF(J$3&lt;$B6,0,IF($C6="Instant",1,IF(J$3-$B6&gt;=2,1,IF(J$3-$B6=1,0.66,0.33))))</f>
        <v>1</v>
      </c>
      <c r="K6" s="9" t="n">
        <f aca="false">IF(K$3&lt;$B6,0,IF($C6="Instant",1,IF(K$3-$B6&gt;=2,1,IF(K$3-$B6=1,0.66,0.33))))</f>
        <v>1</v>
      </c>
      <c r="L6" s="9" t="n">
        <f aca="false">IF(L$3&lt;$B6,0,IF($C6="Instant",1,IF(L$3-$B6&gt;=2,1,IF(L$3-$B6=1,0.66,0.33))))</f>
        <v>1</v>
      </c>
      <c r="M6" s="9" t="n">
        <f aca="false">IF(M$3&lt;$B6,0,IF($C6="Instant",1,IF(M$3-$B6&gt;=2,1,IF(M$3-$B6=1,0.66,0.33))))</f>
        <v>1</v>
      </c>
      <c r="N6" s="9" t="n">
        <f aca="false">IF(N$3&lt;$B6,0,IF($C6="Instant",1,IF(N$3-$B6&gt;=2,1,IF(N$3-$B6=1,0.66,0.33))))</f>
        <v>1</v>
      </c>
      <c r="O6" s="9" t="n">
        <f aca="false">IF(O$3&lt;$B6,0,IF($C6="Instant",1,IF(O$3-$B6&gt;=2,1,IF(O$3-$B6=1,0.66,0.33))))</f>
        <v>1</v>
      </c>
      <c r="P6" s="9" t="n">
        <f aca="false">IF(P$3&lt;$B6,0,IF($C6="Instant",1,IF(P$3-$B6&gt;=2,1,IF(P$3-$B6=1,0.66,0.33))))</f>
        <v>1</v>
      </c>
      <c r="Q6" s="9" t="n">
        <f aca="false">IF(Q$3&lt;$B6,0,IF($C6="Instant",1,IF(Q$3-$B6&gt;=2,1,IF(Q$3-$B6=1,0.66,0.33))))</f>
        <v>1</v>
      </c>
      <c r="R6" s="9" t="n">
        <f aca="false">IF(R$3&lt;$B6,0,IF($C6="Instant",1,IF(R$3-$B6&gt;=2,1,IF(R$3-$B6=1,0.66,0.33))))</f>
        <v>1</v>
      </c>
      <c r="S6" s="9" t="n">
        <f aca="false">IF(S$3&lt;$B6,0,IF($C6="Instant",1,IF(S$3-$B6&gt;=2,1,IF(S$3-$B6=1,0.66,0.33))))</f>
        <v>1</v>
      </c>
      <c r="T6" s="9" t="n">
        <f aca="false">IF(T$3&lt;$B6,0,IF($C6="Instant",1,IF(T$3-$B6&gt;=2,1,IF(T$3-$B6=1,0.66,0.33))))</f>
        <v>1</v>
      </c>
      <c r="U6" s="9" t="n">
        <f aca="false">IF(U$3&lt;$B6,0,IF($C6="Instant",1,IF(U$3-$B6&gt;=2,1,IF(U$3-$B6=1,0.66,0.33))))</f>
        <v>1</v>
      </c>
      <c r="V6" s="9" t="n">
        <f aca="false">IF(V$3&lt;$B6,0,IF($C6="Instant",1,IF(V$3-$B6&gt;=2,1,IF(V$3-$B6=1,0.66,0.33))))</f>
        <v>1</v>
      </c>
      <c r="W6" s="9" t="n">
        <f aca="false">IF(W$3&lt;$B6,0,IF($C6="Instant",1,IF(W$3-$B6&gt;=2,1,IF(W$3-$B6=1,0.66,0.33))))</f>
        <v>1</v>
      </c>
      <c r="X6" s="9" t="n">
        <f aca="false">IF(X$3&lt;$B6,0,IF($C6="Instant",1,IF(X$3-$B6&gt;=2,1,IF(X$3-$B6=1,0.66,0.33))))</f>
        <v>1</v>
      </c>
      <c r="Y6" s="9" t="n">
        <f aca="false">IF(Y$3&lt;$B6,0,IF($C6="Instant",1,IF(Y$3-$B6&gt;=2,1,IF(Y$3-$B6=1,0.66,0.33))))</f>
        <v>1</v>
      </c>
      <c r="Z6" s="9" t="n">
        <f aca="false">IF(Z$3&lt;$B6,0,IF($C6="Instant",1,IF(Z$3-$B6&gt;=2,1,IF(Z$3-$B6=1,0.66,0.33))))</f>
        <v>1</v>
      </c>
      <c r="AA6" s="9" t="n">
        <f aca="false">IF(AA$3&lt;$B6,0,IF($C6="Instant",1,IF(AA$3-$B6&gt;=2,1,IF(AA$3-$B6=1,0.66,0.33))))</f>
        <v>1</v>
      </c>
      <c r="AB6" s="9" t="n">
        <f aca="false">IF(AB$3&lt;$B6,0,IF($C6="Instant",1,IF(AB$3-$B6&gt;=2,1,IF(AB$3-$B6=1,0.66,0.33))))</f>
        <v>1</v>
      </c>
    </row>
    <row r="7" customFormat="false" ht="15" hidden="false" customHeight="false" outlineLevel="0" collapsed="false">
      <c r="A7" s="0" t="s">
        <v>29</v>
      </c>
      <c r="B7" s="8" t="n">
        <v>1</v>
      </c>
      <c r="C7" s="8" t="s">
        <v>27</v>
      </c>
      <c r="D7" s="2" t="s">
        <v>28</v>
      </c>
      <c r="E7" s="9" t="n">
        <f aca="false">IF(E$3&lt;$B7,0,IF($C7="Instant",1,IF(E$3-$B7&gt;=2,1,IF(E$3-$B7=1,0.66,0.33))))</f>
        <v>1</v>
      </c>
      <c r="F7" s="9" t="n">
        <f aca="false">IF(F$3&lt;$B7,0,IF($C7="Instant",1,IF(F$3-$B7&gt;=2,1,IF(F$3-$B7=1,0.66,0.33))))</f>
        <v>1</v>
      </c>
      <c r="G7" s="9" t="n">
        <f aca="false">IF(G$3&lt;$B7,0,IF($C7="Instant",1,IF(G$3-$B7&gt;=2,1,IF(G$3-$B7=1,0.66,0.33))))</f>
        <v>1</v>
      </c>
      <c r="H7" s="9" t="n">
        <f aca="false">IF(H$3&lt;$B7,0,IF($C7="Instant",1,IF(H$3-$B7&gt;=2,1,IF(H$3-$B7=1,0.66,0.33))))</f>
        <v>1</v>
      </c>
      <c r="I7" s="9" t="n">
        <f aca="false">IF(I$3&lt;$B7,0,IF($C7="Instant",1,IF(I$3-$B7&gt;=2,1,IF(I$3-$B7=1,0.66,0.33))))</f>
        <v>1</v>
      </c>
      <c r="J7" s="9" t="n">
        <f aca="false">IF(J$3&lt;$B7,0,IF($C7="Instant",1,IF(J$3-$B7&gt;=2,1,IF(J$3-$B7=1,0.66,0.33))))</f>
        <v>1</v>
      </c>
      <c r="K7" s="9" t="n">
        <f aca="false">IF(K$3&lt;$B7,0,IF($C7="Instant",1,IF(K$3-$B7&gt;=2,1,IF(K$3-$B7=1,0.66,0.33))))</f>
        <v>1</v>
      </c>
      <c r="L7" s="9" t="n">
        <f aca="false">IF(L$3&lt;$B7,0,IF($C7="Instant",1,IF(L$3-$B7&gt;=2,1,IF(L$3-$B7=1,0.66,0.33))))</f>
        <v>1</v>
      </c>
      <c r="M7" s="9" t="n">
        <f aca="false">IF(M$3&lt;$B7,0,IF($C7="Instant",1,IF(M$3-$B7&gt;=2,1,IF(M$3-$B7=1,0.66,0.33))))</f>
        <v>1</v>
      </c>
      <c r="N7" s="9" t="n">
        <f aca="false">IF(N$3&lt;$B7,0,IF($C7="Instant",1,IF(N$3-$B7&gt;=2,1,IF(N$3-$B7=1,0.66,0.33))))</f>
        <v>1</v>
      </c>
      <c r="O7" s="9" t="n">
        <f aca="false">IF(O$3&lt;$B7,0,IF($C7="Instant",1,IF(O$3-$B7&gt;=2,1,IF(O$3-$B7=1,0.66,0.33))))</f>
        <v>1</v>
      </c>
      <c r="P7" s="9" t="n">
        <f aca="false">IF(P$3&lt;$B7,0,IF($C7="Instant",1,IF(P$3-$B7&gt;=2,1,IF(P$3-$B7=1,0.66,0.33))))</f>
        <v>1</v>
      </c>
      <c r="Q7" s="9" t="n">
        <f aca="false">IF(Q$3&lt;$B7,0,IF($C7="Instant",1,IF(Q$3-$B7&gt;=2,1,IF(Q$3-$B7=1,0.66,0.33))))</f>
        <v>1</v>
      </c>
      <c r="R7" s="9" t="n">
        <f aca="false">IF(R$3&lt;$B7,0,IF($C7="Instant",1,IF(R$3-$B7&gt;=2,1,IF(R$3-$B7=1,0.66,0.33))))</f>
        <v>1</v>
      </c>
      <c r="S7" s="9" t="n">
        <f aca="false">IF(S$3&lt;$B7,0,IF($C7="Instant",1,IF(S$3-$B7&gt;=2,1,IF(S$3-$B7=1,0.66,0.33))))</f>
        <v>1</v>
      </c>
      <c r="T7" s="9" t="n">
        <f aca="false">IF(T$3&lt;$B7,0,IF($C7="Instant",1,IF(T$3-$B7&gt;=2,1,IF(T$3-$B7=1,0.66,0.33))))</f>
        <v>1</v>
      </c>
      <c r="U7" s="9" t="n">
        <f aca="false">IF(U$3&lt;$B7,0,IF($C7="Instant",1,IF(U$3-$B7&gt;=2,1,IF(U$3-$B7=1,0.66,0.33))))</f>
        <v>1</v>
      </c>
      <c r="V7" s="9" t="n">
        <f aca="false">IF(V$3&lt;$B7,0,IF($C7="Instant",1,IF(V$3-$B7&gt;=2,1,IF(V$3-$B7=1,0.66,0.33))))</f>
        <v>1</v>
      </c>
      <c r="W7" s="9" t="n">
        <f aca="false">IF(W$3&lt;$B7,0,IF($C7="Instant",1,IF(W$3-$B7&gt;=2,1,IF(W$3-$B7=1,0.66,0.33))))</f>
        <v>1</v>
      </c>
      <c r="X7" s="9" t="n">
        <f aca="false">IF(X$3&lt;$B7,0,IF($C7="Instant",1,IF(X$3-$B7&gt;=2,1,IF(X$3-$B7=1,0.66,0.33))))</f>
        <v>1</v>
      </c>
      <c r="Y7" s="9" t="n">
        <f aca="false">IF(Y$3&lt;$B7,0,IF($C7="Instant",1,IF(Y$3-$B7&gt;=2,1,IF(Y$3-$B7=1,0.66,0.33))))</f>
        <v>1</v>
      </c>
      <c r="Z7" s="9" t="n">
        <f aca="false">IF(Z$3&lt;$B7,0,IF($C7="Instant",1,IF(Z$3-$B7&gt;=2,1,IF(Z$3-$B7=1,0.66,0.33))))</f>
        <v>1</v>
      </c>
      <c r="AA7" s="9" t="n">
        <f aca="false">IF(AA$3&lt;$B7,0,IF($C7="Instant",1,IF(AA$3-$B7&gt;=2,1,IF(AA$3-$B7=1,0.66,0.33))))</f>
        <v>1</v>
      </c>
      <c r="AB7" s="9" t="n">
        <f aca="false">IF(AB$3&lt;$B7,0,IF($C7="Instant",1,IF(AB$3-$B7&gt;=2,1,IF(AB$3-$B7=1,0.66,0.33))))</f>
        <v>1</v>
      </c>
    </row>
    <row r="8" customFormat="false" ht="15" hidden="false" customHeight="false" outlineLevel="0" collapsed="false">
      <c r="A8" s="0" t="s">
        <v>30</v>
      </c>
      <c r="B8" s="8" t="n">
        <v>4</v>
      </c>
      <c r="C8" s="8" t="s">
        <v>31</v>
      </c>
      <c r="D8" s="2" t="s">
        <v>28</v>
      </c>
      <c r="E8" s="9" t="n">
        <f aca="false">IF(E$3&lt;$B8,0,IF($C8="Instant",1,IF(E$3-$B8&gt;=2,1,IF(E$3-$B8=1,0.66,0.33))))</f>
        <v>0</v>
      </c>
      <c r="F8" s="9" t="n">
        <f aca="false">IF(F$3&lt;$B8,0,IF($C8="Instant",1,IF(F$3-$B8&gt;=2,1,IF(F$3-$B8=1,0.66,0.33))))</f>
        <v>0</v>
      </c>
      <c r="G8" s="9" t="n">
        <f aca="false">IF(G$3&lt;$B8,0,IF($C8="Instant",1,IF(G$3-$B8&gt;=2,1,IF(G$3-$B8=1,0.66,0.33))))</f>
        <v>0</v>
      </c>
      <c r="H8" s="9" t="n">
        <f aca="false">IF(H$3&lt;$B8,0,IF($C8="Instant",1,IF(H$3-$B8&gt;=2,1,IF(H$3-$B8=1,0.66,0.33))))</f>
        <v>0.33</v>
      </c>
      <c r="I8" s="9" t="n">
        <f aca="false">IF(I$3&lt;$B8,0,IF($C8="Instant",1,IF(I$3-$B8&gt;=2,1,IF(I$3-$B8=1,0.66,0.33))))</f>
        <v>0.66</v>
      </c>
      <c r="J8" s="9" t="n">
        <f aca="false">IF(J$3&lt;$B8,0,IF($C8="Instant",1,IF(J$3-$B8&gt;=2,1,IF(J$3-$B8=1,0.66,0.33))))</f>
        <v>1</v>
      </c>
      <c r="K8" s="9" t="n">
        <f aca="false">IF(K$3&lt;$B8,0,IF($C8="Instant",1,IF(K$3-$B8&gt;=2,1,IF(K$3-$B8=1,0.66,0.33))))</f>
        <v>1</v>
      </c>
      <c r="L8" s="9" t="n">
        <f aca="false">IF(L$3&lt;$B8,0,IF($C8="Instant",1,IF(L$3-$B8&gt;=2,1,IF(L$3-$B8=1,0.66,0.33))))</f>
        <v>1</v>
      </c>
      <c r="M8" s="9" t="n">
        <f aca="false">IF(M$3&lt;$B8,0,IF($C8="Instant",1,IF(M$3-$B8&gt;=2,1,IF(M$3-$B8=1,0.66,0.33))))</f>
        <v>1</v>
      </c>
      <c r="N8" s="9" t="n">
        <f aca="false">IF(N$3&lt;$B8,0,IF($C8="Instant",1,IF(N$3-$B8&gt;=2,1,IF(N$3-$B8=1,0.66,0.33))))</f>
        <v>1</v>
      </c>
      <c r="O8" s="9" t="n">
        <f aca="false">IF(O$3&lt;$B8,0,IF($C8="Instant",1,IF(O$3-$B8&gt;=2,1,IF(O$3-$B8=1,0.66,0.33))))</f>
        <v>1</v>
      </c>
      <c r="P8" s="9" t="n">
        <f aca="false">IF(P$3&lt;$B8,0,IF($C8="Instant",1,IF(P$3-$B8&gt;=2,1,IF(P$3-$B8=1,0.66,0.33))))</f>
        <v>1</v>
      </c>
      <c r="Q8" s="9" t="n">
        <f aca="false">IF(Q$3&lt;$B8,0,IF($C8="Instant",1,IF(Q$3-$B8&gt;=2,1,IF(Q$3-$B8=1,0.66,0.33))))</f>
        <v>1</v>
      </c>
      <c r="R8" s="9" t="n">
        <f aca="false">IF(R$3&lt;$B8,0,IF($C8="Instant",1,IF(R$3-$B8&gt;=2,1,IF(R$3-$B8=1,0.66,0.33))))</f>
        <v>1</v>
      </c>
      <c r="S8" s="9" t="n">
        <f aca="false">IF(S$3&lt;$B8,0,IF($C8="Instant",1,IF(S$3-$B8&gt;=2,1,IF(S$3-$B8=1,0.66,0.33))))</f>
        <v>1</v>
      </c>
      <c r="T8" s="9" t="n">
        <f aca="false">IF(T$3&lt;$B8,0,IF($C8="Instant",1,IF(T$3-$B8&gt;=2,1,IF(T$3-$B8=1,0.66,0.33))))</f>
        <v>1</v>
      </c>
      <c r="U8" s="9" t="n">
        <f aca="false">IF(U$3&lt;$B8,0,IF($C8="Instant",1,IF(U$3-$B8&gt;=2,1,IF(U$3-$B8=1,0.66,0.33))))</f>
        <v>1</v>
      </c>
      <c r="V8" s="9" t="n">
        <f aca="false">IF(V$3&lt;$B8,0,IF($C8="Instant",1,IF(V$3-$B8&gt;=2,1,IF(V$3-$B8=1,0.66,0.33))))</f>
        <v>1</v>
      </c>
      <c r="W8" s="9" t="n">
        <f aca="false">IF(W$3&lt;$B8,0,IF($C8="Instant",1,IF(W$3-$B8&gt;=2,1,IF(W$3-$B8=1,0.66,0.33))))</f>
        <v>1</v>
      </c>
      <c r="X8" s="9" t="n">
        <f aca="false">IF(X$3&lt;$B8,0,IF($C8="Instant",1,IF(X$3-$B8&gt;=2,1,IF(X$3-$B8=1,0.66,0.33))))</f>
        <v>1</v>
      </c>
      <c r="Y8" s="9" t="n">
        <f aca="false">IF(Y$3&lt;$B8,0,IF($C8="Instant",1,IF(Y$3-$B8&gt;=2,1,IF(Y$3-$B8=1,0.66,0.33))))</f>
        <v>1</v>
      </c>
      <c r="Z8" s="9" t="n">
        <f aca="false">IF(Z$3&lt;$B8,0,IF($C8="Instant",1,IF(Z$3-$B8&gt;=2,1,IF(Z$3-$B8=1,0.66,0.33))))</f>
        <v>1</v>
      </c>
      <c r="AA8" s="9" t="n">
        <f aca="false">IF(AA$3&lt;$B8,0,IF($C8="Instant",1,IF(AA$3-$B8&gt;=2,1,IF(AA$3-$B8=1,0.66,0.33))))</f>
        <v>1</v>
      </c>
      <c r="AB8" s="9" t="n">
        <f aca="false">IF(AB$3&lt;$B8,0,IF($C8="Instant",1,IF(AB$3-$B8&gt;=2,1,IF(AB$3-$B8=1,0.66,0.33))))</f>
        <v>1</v>
      </c>
    </row>
    <row r="10" customFormat="false" ht="15" hidden="false" customHeight="false" outlineLevel="0" collapsed="false">
      <c r="A10" s="6" t="s">
        <v>32</v>
      </c>
    </row>
    <row r="11" customFormat="false" ht="15" hidden="false" customHeight="false" outlineLevel="0" collapsed="false">
      <c r="A11" s="0" t="s">
        <v>26</v>
      </c>
      <c r="E11" s="10" t="n">
        <f aca="false">E6*(Assumptions!$B$10/12)</f>
        <v>91666.6666666667</v>
      </c>
      <c r="F11" s="10" t="n">
        <f aca="false">F6*(Assumptions!$B$10/12)</f>
        <v>91666.6666666667</v>
      </c>
      <c r="G11" s="10" t="n">
        <f aca="false">G6*(Assumptions!$B$10/12)</f>
        <v>91666.6666666667</v>
      </c>
      <c r="H11" s="10" t="n">
        <f aca="false">H6*(Assumptions!$B$10/12)</f>
        <v>91666.6666666667</v>
      </c>
      <c r="I11" s="10" t="n">
        <f aca="false">I6*(Assumptions!$B$10/12)</f>
        <v>91666.6666666667</v>
      </c>
      <c r="J11" s="10" t="n">
        <f aca="false">J6*(Assumptions!$B$10/12)</f>
        <v>91666.6666666667</v>
      </c>
      <c r="K11" s="10" t="n">
        <f aca="false">K6*(Assumptions!$B$10/12)</f>
        <v>91666.6666666667</v>
      </c>
      <c r="L11" s="10" t="n">
        <f aca="false">L6*(Assumptions!$B$10/12)</f>
        <v>91666.6666666667</v>
      </c>
      <c r="M11" s="10" t="n">
        <f aca="false">M6*(Assumptions!$B$10/12)</f>
        <v>91666.6666666667</v>
      </c>
      <c r="N11" s="10" t="n">
        <f aca="false">N6*(Assumptions!$B$10/12)</f>
        <v>91666.6666666667</v>
      </c>
      <c r="O11" s="10" t="n">
        <f aca="false">O6*(Assumptions!$B$10/12)</f>
        <v>91666.6666666667</v>
      </c>
      <c r="P11" s="10" t="n">
        <f aca="false">P6*(Assumptions!$B$10/12)</f>
        <v>91666.6666666667</v>
      </c>
      <c r="Q11" s="10" t="n">
        <f aca="false">Q6*(Assumptions!$B$10/12)</f>
        <v>91666.6666666667</v>
      </c>
      <c r="R11" s="10" t="n">
        <f aca="false">R6*(Assumptions!$B$10/12)</f>
        <v>91666.6666666667</v>
      </c>
      <c r="S11" s="10" t="n">
        <f aca="false">S6*(Assumptions!$B$10/12)</f>
        <v>91666.6666666667</v>
      </c>
      <c r="T11" s="10" t="n">
        <f aca="false">T6*(Assumptions!$B$10/12)</f>
        <v>91666.6666666667</v>
      </c>
      <c r="U11" s="10" t="n">
        <f aca="false">U6*(Assumptions!$B$10/12)</f>
        <v>91666.6666666667</v>
      </c>
      <c r="V11" s="10" t="n">
        <f aca="false">V6*(Assumptions!$B$10/12)</f>
        <v>91666.6666666667</v>
      </c>
      <c r="W11" s="10" t="n">
        <f aca="false">W6*(Assumptions!$B$10/12)</f>
        <v>91666.6666666667</v>
      </c>
      <c r="X11" s="10" t="n">
        <f aca="false">X6*(Assumptions!$B$10/12)</f>
        <v>91666.6666666667</v>
      </c>
      <c r="Y11" s="10" t="n">
        <f aca="false">Y6*(Assumptions!$B$10/12)</f>
        <v>91666.6666666667</v>
      </c>
      <c r="Z11" s="10" t="n">
        <f aca="false">Z6*(Assumptions!$B$10/12)</f>
        <v>91666.6666666667</v>
      </c>
      <c r="AA11" s="10" t="n">
        <f aca="false">AA6*(Assumptions!$B$10/12)</f>
        <v>91666.6666666667</v>
      </c>
      <c r="AB11" s="10" t="n">
        <f aca="false">AB6*(Assumptions!$B$10/12)</f>
        <v>91666.6666666667</v>
      </c>
    </row>
    <row r="12" customFormat="false" ht="15" hidden="false" customHeight="false" outlineLevel="0" collapsed="false">
      <c r="A12" s="0" t="s">
        <v>29</v>
      </c>
      <c r="E12" s="10" t="n">
        <f aca="false">E7*(Assumptions!$B$10/12)</f>
        <v>91666.6666666667</v>
      </c>
      <c r="F12" s="10" t="n">
        <f aca="false">F7*(Assumptions!$B$10/12)</f>
        <v>91666.6666666667</v>
      </c>
      <c r="G12" s="10" t="n">
        <f aca="false">G7*(Assumptions!$B$10/12)</f>
        <v>91666.6666666667</v>
      </c>
      <c r="H12" s="10" t="n">
        <f aca="false">H7*(Assumptions!$B$10/12)</f>
        <v>91666.6666666667</v>
      </c>
      <c r="I12" s="10" t="n">
        <f aca="false">I7*(Assumptions!$B$10/12)</f>
        <v>91666.6666666667</v>
      </c>
      <c r="J12" s="10" t="n">
        <f aca="false">J7*(Assumptions!$B$10/12)</f>
        <v>91666.6666666667</v>
      </c>
      <c r="K12" s="10" t="n">
        <f aca="false">K7*(Assumptions!$B$10/12)</f>
        <v>91666.6666666667</v>
      </c>
      <c r="L12" s="10" t="n">
        <f aca="false">L7*(Assumptions!$B$10/12)</f>
        <v>91666.6666666667</v>
      </c>
      <c r="M12" s="10" t="n">
        <f aca="false">M7*(Assumptions!$B$10/12)</f>
        <v>91666.6666666667</v>
      </c>
      <c r="N12" s="10" t="n">
        <f aca="false">N7*(Assumptions!$B$10/12)</f>
        <v>91666.6666666667</v>
      </c>
      <c r="O12" s="10" t="n">
        <f aca="false">O7*(Assumptions!$B$10/12)</f>
        <v>91666.6666666667</v>
      </c>
      <c r="P12" s="10" t="n">
        <f aca="false">P7*(Assumptions!$B$10/12)</f>
        <v>91666.6666666667</v>
      </c>
      <c r="Q12" s="10" t="n">
        <f aca="false">Q7*(Assumptions!$B$10/12)</f>
        <v>91666.6666666667</v>
      </c>
      <c r="R12" s="10" t="n">
        <f aca="false">R7*(Assumptions!$B$10/12)</f>
        <v>91666.6666666667</v>
      </c>
      <c r="S12" s="10" t="n">
        <f aca="false">S7*(Assumptions!$B$10/12)</f>
        <v>91666.6666666667</v>
      </c>
      <c r="T12" s="10" t="n">
        <f aca="false">T7*(Assumptions!$B$10/12)</f>
        <v>91666.6666666667</v>
      </c>
      <c r="U12" s="10" t="n">
        <f aca="false">U7*(Assumptions!$B$10/12)</f>
        <v>91666.6666666667</v>
      </c>
      <c r="V12" s="10" t="n">
        <f aca="false">V7*(Assumptions!$B$10/12)</f>
        <v>91666.6666666667</v>
      </c>
      <c r="W12" s="10" t="n">
        <f aca="false">W7*(Assumptions!$B$10/12)</f>
        <v>91666.6666666667</v>
      </c>
      <c r="X12" s="10" t="n">
        <f aca="false">X7*(Assumptions!$B$10/12)</f>
        <v>91666.6666666667</v>
      </c>
      <c r="Y12" s="10" t="n">
        <f aca="false">Y7*(Assumptions!$B$10/12)</f>
        <v>91666.6666666667</v>
      </c>
      <c r="Z12" s="10" t="n">
        <f aca="false">Z7*(Assumptions!$B$10/12)</f>
        <v>91666.6666666667</v>
      </c>
      <c r="AA12" s="10" t="n">
        <f aca="false">AA7*(Assumptions!$B$10/12)</f>
        <v>91666.6666666667</v>
      </c>
      <c r="AB12" s="10" t="n">
        <f aca="false">AB7*(Assumptions!$B$10/12)</f>
        <v>91666.6666666667</v>
      </c>
    </row>
    <row r="13" customFormat="false" ht="15" hidden="false" customHeight="false" outlineLevel="0" collapsed="false">
      <c r="A13" s="0" t="s">
        <v>30</v>
      </c>
      <c r="E13" s="10" t="n">
        <f aca="false">E8*(Assumptions!$B$10/12)</f>
        <v>0</v>
      </c>
      <c r="F13" s="10" t="n">
        <f aca="false">F8*(Assumptions!$B$10/12)</f>
        <v>0</v>
      </c>
      <c r="G13" s="10" t="n">
        <f aca="false">G8*(Assumptions!$B$10/12)</f>
        <v>0</v>
      </c>
      <c r="H13" s="10" t="n">
        <f aca="false">H8*(Assumptions!$B$10/12)</f>
        <v>30250</v>
      </c>
      <c r="I13" s="10" t="n">
        <f aca="false">I8*(Assumptions!$B$10/12)</f>
        <v>60500</v>
      </c>
      <c r="J13" s="10" t="n">
        <f aca="false">J8*(Assumptions!$B$10/12)</f>
        <v>91666.6666666667</v>
      </c>
      <c r="K13" s="10" t="n">
        <f aca="false">K8*(Assumptions!$B$10/12)</f>
        <v>91666.6666666667</v>
      </c>
      <c r="L13" s="10" t="n">
        <f aca="false">L8*(Assumptions!$B$10/12)</f>
        <v>91666.6666666667</v>
      </c>
      <c r="M13" s="10" t="n">
        <f aca="false">M8*(Assumptions!$B$10/12)</f>
        <v>91666.6666666667</v>
      </c>
      <c r="N13" s="10" t="n">
        <f aca="false">N8*(Assumptions!$B$10/12)</f>
        <v>91666.6666666667</v>
      </c>
      <c r="O13" s="10" t="n">
        <f aca="false">O8*(Assumptions!$B$10/12)</f>
        <v>91666.6666666667</v>
      </c>
      <c r="P13" s="10" t="n">
        <f aca="false">P8*(Assumptions!$B$10/12)</f>
        <v>91666.6666666667</v>
      </c>
      <c r="Q13" s="10" t="n">
        <f aca="false">Q8*(Assumptions!$B$10/12)</f>
        <v>91666.6666666667</v>
      </c>
      <c r="R13" s="10" t="n">
        <f aca="false">R8*(Assumptions!$B$10/12)</f>
        <v>91666.6666666667</v>
      </c>
      <c r="S13" s="10" t="n">
        <f aca="false">S8*(Assumptions!$B$10/12)</f>
        <v>91666.6666666667</v>
      </c>
      <c r="T13" s="10" t="n">
        <f aca="false">T8*(Assumptions!$B$10/12)</f>
        <v>91666.6666666667</v>
      </c>
      <c r="U13" s="10" t="n">
        <f aca="false">U8*(Assumptions!$B$10/12)</f>
        <v>91666.6666666667</v>
      </c>
      <c r="V13" s="10" t="n">
        <f aca="false">V8*(Assumptions!$B$10/12)</f>
        <v>91666.6666666667</v>
      </c>
      <c r="W13" s="10" t="n">
        <f aca="false">W8*(Assumptions!$B$10/12)</f>
        <v>91666.6666666667</v>
      </c>
      <c r="X13" s="10" t="n">
        <f aca="false">X8*(Assumptions!$B$10/12)</f>
        <v>91666.6666666667</v>
      </c>
      <c r="Y13" s="10" t="n">
        <f aca="false">Y8*(Assumptions!$B$10/12)</f>
        <v>91666.6666666667</v>
      </c>
      <c r="Z13" s="10" t="n">
        <f aca="false">Z8*(Assumptions!$B$10/12)</f>
        <v>91666.6666666667</v>
      </c>
      <c r="AA13" s="10" t="n">
        <f aca="false">AA8*(Assumptions!$B$10/12)</f>
        <v>91666.6666666667</v>
      </c>
      <c r="AB13" s="10" t="n">
        <f aca="false">AB8*(Assumptions!$B$10/12)</f>
        <v>91666.6666666667</v>
      </c>
    </row>
    <row r="14" customFormat="false" ht="15" hidden="false" customHeight="false" outlineLevel="0" collapsed="false">
      <c r="A14" s="6" t="s">
        <v>33</v>
      </c>
      <c r="E14" s="11" t="n">
        <f aca="false">E11+E12+E13</f>
        <v>183333.333333333</v>
      </c>
      <c r="F14" s="11" t="n">
        <f aca="false">F11+F12+F13</f>
        <v>183333.333333333</v>
      </c>
      <c r="G14" s="11" t="n">
        <f aca="false">G11+G12+G13</f>
        <v>183333.333333333</v>
      </c>
      <c r="H14" s="11" t="n">
        <f aca="false">H11+H12+H13</f>
        <v>213583.333333333</v>
      </c>
      <c r="I14" s="11" t="n">
        <f aca="false">I11+I12+I13</f>
        <v>243833.333333333</v>
      </c>
      <c r="J14" s="11" t="n">
        <f aca="false">J11+J12+J13</f>
        <v>275000</v>
      </c>
      <c r="K14" s="11" t="n">
        <f aca="false">K11+K12+K13</f>
        <v>275000</v>
      </c>
      <c r="L14" s="11" t="n">
        <f aca="false">L11+L12+L13</f>
        <v>275000</v>
      </c>
      <c r="M14" s="11" t="n">
        <f aca="false">M11+M12+M13</f>
        <v>275000</v>
      </c>
      <c r="N14" s="11" t="n">
        <f aca="false">N11+N12+N13</f>
        <v>275000</v>
      </c>
      <c r="O14" s="11" t="n">
        <f aca="false">O11+O12+O13</f>
        <v>275000</v>
      </c>
      <c r="P14" s="11" t="n">
        <f aca="false">P11+P12+P13</f>
        <v>275000</v>
      </c>
      <c r="Q14" s="11" t="n">
        <f aca="false">Q11+Q12+Q13</f>
        <v>275000</v>
      </c>
      <c r="R14" s="11" t="n">
        <f aca="false">R11+R12+R13</f>
        <v>275000</v>
      </c>
      <c r="S14" s="11" t="n">
        <f aca="false">S11+S12+S13</f>
        <v>275000</v>
      </c>
      <c r="T14" s="11" t="n">
        <f aca="false">T11+T12+T13</f>
        <v>275000</v>
      </c>
      <c r="U14" s="11" t="n">
        <f aca="false">U11+U12+U13</f>
        <v>275000</v>
      </c>
      <c r="V14" s="11" t="n">
        <f aca="false">V11+V12+V13</f>
        <v>275000</v>
      </c>
      <c r="W14" s="11" t="n">
        <f aca="false">W11+W12+W13</f>
        <v>275000</v>
      </c>
      <c r="X14" s="11" t="n">
        <f aca="false">X11+X12+X13</f>
        <v>275000</v>
      </c>
      <c r="Y14" s="11" t="n">
        <f aca="false">Y11+Y12+Y13</f>
        <v>275000</v>
      </c>
      <c r="Z14" s="11" t="n">
        <f aca="false">Z11+Z12+Z13</f>
        <v>275000</v>
      </c>
      <c r="AA14" s="11" t="n">
        <f aca="false">AA11+AA12+AA13</f>
        <v>275000</v>
      </c>
      <c r="AB14" s="11" t="n">
        <f aca="false">AB11+AB12+AB13</f>
        <v>275000</v>
      </c>
    </row>
    <row r="16" customFormat="false" ht="15" hidden="false" customHeight="false" outlineLevel="0" collapsed="false">
      <c r="A16" s="6" t="s">
        <v>34</v>
      </c>
    </row>
    <row r="17" customFormat="false" ht="15" hidden="false" customHeight="false" outlineLevel="0" collapsed="false">
      <c r="A17" s="0" t="s">
        <v>26</v>
      </c>
      <c r="E17" s="12" t="n">
        <f aca="false">E6*Assumptions!$B$18</f>
        <v>2</v>
      </c>
      <c r="F17" s="12" t="n">
        <f aca="false">F6*Assumptions!$B$18</f>
        <v>2</v>
      </c>
      <c r="G17" s="12" t="n">
        <f aca="false">G6*Assumptions!$B$18</f>
        <v>2</v>
      </c>
      <c r="H17" s="12" t="n">
        <f aca="false">H6*Assumptions!$B$18</f>
        <v>2</v>
      </c>
      <c r="I17" s="12" t="n">
        <f aca="false">I6*Assumptions!$B$18</f>
        <v>2</v>
      </c>
      <c r="J17" s="12" t="n">
        <f aca="false">J6*Assumptions!$B$18</f>
        <v>2</v>
      </c>
      <c r="K17" s="12" t="n">
        <f aca="false">K6*Assumptions!$B$18</f>
        <v>2</v>
      </c>
      <c r="L17" s="12" t="n">
        <f aca="false">L6*Assumptions!$B$18</f>
        <v>2</v>
      </c>
      <c r="M17" s="12" t="n">
        <f aca="false">M6*Assumptions!$B$18</f>
        <v>2</v>
      </c>
      <c r="N17" s="12" t="n">
        <f aca="false">N6*Assumptions!$B$18</f>
        <v>2</v>
      </c>
      <c r="O17" s="12" t="n">
        <f aca="false">O6*Assumptions!$B$18</f>
        <v>2</v>
      </c>
      <c r="P17" s="12" t="n">
        <f aca="false">P6*Assumptions!$B$18</f>
        <v>2</v>
      </c>
      <c r="Q17" s="12" t="n">
        <f aca="false">Q6*Assumptions!$B$18</f>
        <v>2</v>
      </c>
      <c r="R17" s="12" t="n">
        <f aca="false">R6*Assumptions!$B$18</f>
        <v>2</v>
      </c>
      <c r="S17" s="12" t="n">
        <f aca="false">S6*Assumptions!$B$18</f>
        <v>2</v>
      </c>
      <c r="T17" s="12" t="n">
        <f aca="false">T6*Assumptions!$B$18</f>
        <v>2</v>
      </c>
      <c r="U17" s="12" t="n">
        <f aca="false">U6*Assumptions!$B$18</f>
        <v>2</v>
      </c>
      <c r="V17" s="12" t="n">
        <f aca="false">V6*Assumptions!$B$18</f>
        <v>2</v>
      </c>
      <c r="W17" s="12" t="n">
        <f aca="false">W6*Assumptions!$B$18</f>
        <v>2</v>
      </c>
      <c r="X17" s="12" t="n">
        <f aca="false">X6*Assumptions!$B$18</f>
        <v>2</v>
      </c>
      <c r="Y17" s="12" t="n">
        <f aca="false">Y6*Assumptions!$B$18</f>
        <v>2</v>
      </c>
      <c r="Z17" s="12" t="n">
        <f aca="false">Z6*Assumptions!$B$18</f>
        <v>2</v>
      </c>
      <c r="AA17" s="12" t="n">
        <f aca="false">AA6*Assumptions!$B$18</f>
        <v>2</v>
      </c>
      <c r="AB17" s="12" t="n">
        <f aca="false">AB6*Assumptions!$B$18</f>
        <v>2</v>
      </c>
    </row>
    <row r="18" customFormat="false" ht="15" hidden="false" customHeight="false" outlineLevel="0" collapsed="false">
      <c r="A18" s="0" t="s">
        <v>29</v>
      </c>
      <c r="E18" s="12" t="n">
        <f aca="false">E7*Assumptions!$B$18</f>
        <v>2</v>
      </c>
      <c r="F18" s="12" t="n">
        <f aca="false">F7*Assumptions!$B$18</f>
        <v>2</v>
      </c>
      <c r="G18" s="12" t="n">
        <f aca="false">G7*Assumptions!$B$18</f>
        <v>2</v>
      </c>
      <c r="H18" s="12" t="n">
        <f aca="false">H7*Assumptions!$B$18</f>
        <v>2</v>
      </c>
      <c r="I18" s="12" t="n">
        <f aca="false">I7*Assumptions!$B$18</f>
        <v>2</v>
      </c>
      <c r="J18" s="12" t="n">
        <f aca="false">J7*Assumptions!$B$18</f>
        <v>2</v>
      </c>
      <c r="K18" s="12" t="n">
        <f aca="false">K7*Assumptions!$B$18</f>
        <v>2</v>
      </c>
      <c r="L18" s="12" t="n">
        <f aca="false">L7*Assumptions!$B$18</f>
        <v>2</v>
      </c>
      <c r="M18" s="12" t="n">
        <f aca="false">M7*Assumptions!$B$18</f>
        <v>2</v>
      </c>
      <c r="N18" s="12" t="n">
        <f aca="false">N7*Assumptions!$B$18</f>
        <v>2</v>
      </c>
      <c r="O18" s="12" t="n">
        <f aca="false">O7*Assumptions!$B$18</f>
        <v>2</v>
      </c>
      <c r="P18" s="12" t="n">
        <f aca="false">P7*Assumptions!$B$18</f>
        <v>2</v>
      </c>
      <c r="Q18" s="12" t="n">
        <f aca="false">Q7*Assumptions!$B$18</f>
        <v>2</v>
      </c>
      <c r="R18" s="12" t="n">
        <f aca="false">R7*Assumptions!$B$18</f>
        <v>2</v>
      </c>
      <c r="S18" s="12" t="n">
        <f aca="false">S7*Assumptions!$B$18</f>
        <v>2</v>
      </c>
      <c r="T18" s="12" t="n">
        <f aca="false">T7*Assumptions!$B$18</f>
        <v>2</v>
      </c>
      <c r="U18" s="12" t="n">
        <f aca="false">U7*Assumptions!$B$18</f>
        <v>2</v>
      </c>
      <c r="V18" s="12" t="n">
        <f aca="false">V7*Assumptions!$B$18</f>
        <v>2</v>
      </c>
      <c r="W18" s="12" t="n">
        <f aca="false">W7*Assumptions!$B$18</f>
        <v>2</v>
      </c>
      <c r="X18" s="12" t="n">
        <f aca="false">X7*Assumptions!$B$18</f>
        <v>2</v>
      </c>
      <c r="Y18" s="12" t="n">
        <f aca="false">Y7*Assumptions!$B$18</f>
        <v>2</v>
      </c>
      <c r="Z18" s="12" t="n">
        <f aca="false">Z7*Assumptions!$B$18</f>
        <v>2</v>
      </c>
      <c r="AA18" s="12" t="n">
        <f aca="false">AA7*Assumptions!$B$18</f>
        <v>2</v>
      </c>
      <c r="AB18" s="12" t="n">
        <f aca="false">AB7*Assumptions!$B$18</f>
        <v>2</v>
      </c>
    </row>
    <row r="19" customFormat="false" ht="15" hidden="false" customHeight="false" outlineLevel="0" collapsed="false">
      <c r="A19" s="0" t="s">
        <v>30</v>
      </c>
      <c r="E19" s="12" t="n">
        <f aca="false">E8*Assumptions!$B$18</f>
        <v>0</v>
      </c>
      <c r="F19" s="12" t="n">
        <f aca="false">F8*Assumptions!$B$18</f>
        <v>0</v>
      </c>
      <c r="G19" s="12" t="n">
        <f aca="false">G8*Assumptions!$B$18</f>
        <v>0</v>
      </c>
      <c r="H19" s="12" t="n">
        <f aca="false">H8*Assumptions!$B$18</f>
        <v>0.66</v>
      </c>
      <c r="I19" s="12" t="n">
        <f aca="false">I8*Assumptions!$B$18</f>
        <v>1.32</v>
      </c>
      <c r="J19" s="12" t="n">
        <f aca="false">J8*Assumptions!$B$18</f>
        <v>2</v>
      </c>
      <c r="K19" s="12" t="n">
        <f aca="false">K8*Assumptions!$B$18</f>
        <v>2</v>
      </c>
      <c r="L19" s="12" t="n">
        <f aca="false">L8*Assumptions!$B$18</f>
        <v>2</v>
      </c>
      <c r="M19" s="12" t="n">
        <f aca="false">M8*Assumptions!$B$18</f>
        <v>2</v>
      </c>
      <c r="N19" s="12" t="n">
        <f aca="false">N8*Assumptions!$B$18</f>
        <v>2</v>
      </c>
      <c r="O19" s="12" t="n">
        <f aca="false">O8*Assumptions!$B$18</f>
        <v>2</v>
      </c>
      <c r="P19" s="12" t="n">
        <f aca="false">P8*Assumptions!$B$18</f>
        <v>2</v>
      </c>
      <c r="Q19" s="12" t="n">
        <f aca="false">Q8*Assumptions!$B$18</f>
        <v>2</v>
      </c>
      <c r="R19" s="12" t="n">
        <f aca="false">R8*Assumptions!$B$18</f>
        <v>2</v>
      </c>
      <c r="S19" s="12" t="n">
        <f aca="false">S8*Assumptions!$B$18</f>
        <v>2</v>
      </c>
      <c r="T19" s="12" t="n">
        <f aca="false">T8*Assumptions!$B$18</f>
        <v>2</v>
      </c>
      <c r="U19" s="12" t="n">
        <f aca="false">U8*Assumptions!$B$18</f>
        <v>2</v>
      </c>
      <c r="V19" s="12" t="n">
        <f aca="false">V8*Assumptions!$B$18</f>
        <v>2</v>
      </c>
      <c r="W19" s="12" t="n">
        <f aca="false">W8*Assumptions!$B$18</f>
        <v>2</v>
      </c>
      <c r="X19" s="12" t="n">
        <f aca="false">X8*Assumptions!$B$18</f>
        <v>2</v>
      </c>
      <c r="Y19" s="12" t="n">
        <f aca="false">Y8*Assumptions!$B$18</f>
        <v>2</v>
      </c>
      <c r="Z19" s="12" t="n">
        <f aca="false">Z8*Assumptions!$B$18</f>
        <v>2</v>
      </c>
      <c r="AA19" s="12" t="n">
        <f aca="false">AA8*Assumptions!$B$18</f>
        <v>2</v>
      </c>
      <c r="AB19" s="12" t="n">
        <f aca="false">AB8*Assumptions!$B$18</f>
        <v>2</v>
      </c>
    </row>
    <row r="20" customFormat="false" ht="15" hidden="false" customHeight="false" outlineLevel="0" collapsed="false">
      <c r="A20" s="6" t="s">
        <v>35</v>
      </c>
      <c r="E20" s="13" t="n">
        <f aca="false">E17+E18+E19</f>
        <v>4</v>
      </c>
      <c r="F20" s="13" t="n">
        <f aca="false">F17+F18+F19</f>
        <v>4</v>
      </c>
      <c r="G20" s="13" t="n">
        <f aca="false">G17+G18+G19</f>
        <v>4</v>
      </c>
      <c r="H20" s="13" t="n">
        <f aca="false">H17+H18+H19</f>
        <v>4.66</v>
      </c>
      <c r="I20" s="13" t="n">
        <f aca="false">I17+I18+I19</f>
        <v>5.32</v>
      </c>
      <c r="J20" s="13" t="n">
        <f aca="false">J17+J18+J19</f>
        <v>6</v>
      </c>
      <c r="K20" s="13" t="n">
        <f aca="false">K17+K18+K19</f>
        <v>6</v>
      </c>
      <c r="L20" s="13" t="n">
        <f aca="false">L17+L18+L19</f>
        <v>6</v>
      </c>
      <c r="M20" s="13" t="n">
        <f aca="false">M17+M18+M19</f>
        <v>6</v>
      </c>
      <c r="N20" s="13" t="n">
        <f aca="false">N17+N18+N19</f>
        <v>6</v>
      </c>
      <c r="O20" s="13" t="n">
        <f aca="false">O17+O18+O19</f>
        <v>6</v>
      </c>
      <c r="P20" s="13" t="n">
        <f aca="false">P17+P18+P19</f>
        <v>6</v>
      </c>
      <c r="Q20" s="13" t="n">
        <f aca="false">Q17+Q18+Q19</f>
        <v>6</v>
      </c>
      <c r="R20" s="13" t="n">
        <f aca="false">R17+R18+R19</f>
        <v>6</v>
      </c>
      <c r="S20" s="13" t="n">
        <f aca="false">S17+S18+S19</f>
        <v>6</v>
      </c>
      <c r="T20" s="13" t="n">
        <f aca="false">T17+T18+T19</f>
        <v>6</v>
      </c>
      <c r="U20" s="13" t="n">
        <f aca="false">U17+U18+U19</f>
        <v>6</v>
      </c>
      <c r="V20" s="13" t="n">
        <f aca="false">V17+V18+V19</f>
        <v>6</v>
      </c>
      <c r="W20" s="13" t="n">
        <f aca="false">W17+W18+W19</f>
        <v>6</v>
      </c>
      <c r="X20" s="13" t="n">
        <f aca="false">X17+X18+X19</f>
        <v>6</v>
      </c>
      <c r="Y20" s="13" t="n">
        <f aca="false">Y17+Y18+Y19</f>
        <v>6</v>
      </c>
      <c r="Z20" s="13" t="n">
        <f aca="false">Z17+Z18+Z19</f>
        <v>6</v>
      </c>
      <c r="AA20" s="13" t="n">
        <f aca="false">AA17+AA18+AA19</f>
        <v>6</v>
      </c>
      <c r="AB20" s="13" t="n">
        <f aca="false">AB17+AB18+AB19</f>
        <v>6</v>
      </c>
    </row>
    <row r="22" customFormat="false" ht="15" hidden="false" customHeight="false" outlineLevel="0" collapsed="false">
      <c r="A22" s="6" t="s">
        <v>36</v>
      </c>
    </row>
    <row r="23" customFormat="false" ht="15" hidden="false" customHeight="false" outlineLevel="0" collapsed="false">
      <c r="A23" s="0" t="s">
        <v>37</v>
      </c>
      <c r="B23" s="8" t="n">
        <v>1</v>
      </c>
      <c r="C23" s="8" t="s">
        <v>27</v>
      </c>
      <c r="E23" s="9" t="n">
        <f aca="false">IF(E$3&lt;$B23,0,IF($C23="Instant",1,IF(E$3-$B23&gt;=2,1,IF(E$3-$B23=1,0.66,0.33))))</f>
        <v>1</v>
      </c>
      <c r="F23" s="9" t="n">
        <f aca="false">IF(F$3&lt;$B23,0,IF($C23="Instant",1,IF(F$3-$B23&gt;=2,1,IF(F$3-$B23=1,0.66,0.33))))</f>
        <v>1</v>
      </c>
      <c r="G23" s="9" t="n">
        <f aca="false">IF(G$3&lt;$B23,0,IF($C23="Instant",1,IF(G$3-$B23&gt;=2,1,IF(G$3-$B23=1,0.66,0.33))))</f>
        <v>1</v>
      </c>
      <c r="H23" s="9" t="n">
        <f aca="false">IF(H$3&lt;$B23,0,IF($C23="Instant",1,IF(H$3-$B23&gt;=2,1,IF(H$3-$B23=1,0.66,0.33))))</f>
        <v>1</v>
      </c>
      <c r="I23" s="9" t="n">
        <f aca="false">IF(I$3&lt;$B23,0,IF($C23="Instant",1,IF(I$3-$B23&gt;=2,1,IF(I$3-$B23=1,0.66,0.33))))</f>
        <v>1</v>
      </c>
      <c r="J23" s="9" t="n">
        <f aca="false">IF(J$3&lt;$B23,0,IF($C23="Instant",1,IF(J$3-$B23&gt;=2,1,IF(J$3-$B23=1,0.66,0.33))))</f>
        <v>1</v>
      </c>
      <c r="K23" s="9" t="n">
        <f aca="false">IF(K$3&lt;$B23,0,IF($C23="Instant",1,IF(K$3-$B23&gt;=2,1,IF(K$3-$B23=1,0.66,0.33))))</f>
        <v>1</v>
      </c>
      <c r="L23" s="9" t="n">
        <f aca="false">IF(L$3&lt;$B23,0,IF($C23="Instant",1,IF(L$3-$B23&gt;=2,1,IF(L$3-$B23=1,0.66,0.33))))</f>
        <v>1</v>
      </c>
      <c r="M23" s="9" t="n">
        <f aca="false">IF(M$3&lt;$B23,0,IF($C23="Instant",1,IF(M$3-$B23&gt;=2,1,IF(M$3-$B23=1,0.66,0.33))))</f>
        <v>1</v>
      </c>
      <c r="N23" s="9" t="n">
        <f aca="false">IF(N$3&lt;$B23,0,IF($C23="Instant",1,IF(N$3-$B23&gt;=2,1,IF(N$3-$B23=1,0.66,0.33))))</f>
        <v>1</v>
      </c>
      <c r="O23" s="9" t="n">
        <f aca="false">IF(O$3&lt;$B23,0,IF($C23="Instant",1,IF(O$3-$B23&gt;=2,1,IF(O$3-$B23=1,0.66,0.33))))</f>
        <v>1</v>
      </c>
      <c r="P23" s="9" t="n">
        <f aca="false">IF(P$3&lt;$B23,0,IF($C23="Instant",1,IF(P$3-$B23&gt;=2,1,IF(P$3-$B23=1,0.66,0.33))))</f>
        <v>1</v>
      </c>
      <c r="Q23" s="9" t="n">
        <f aca="false">IF(Q$3&lt;$B23,0,IF($C23="Instant",1,IF(Q$3-$B23&gt;=2,1,IF(Q$3-$B23=1,0.66,0.33))))</f>
        <v>1</v>
      </c>
      <c r="R23" s="9" t="n">
        <f aca="false">IF(R$3&lt;$B23,0,IF($C23="Instant",1,IF(R$3-$B23&gt;=2,1,IF(R$3-$B23=1,0.66,0.33))))</f>
        <v>1</v>
      </c>
      <c r="S23" s="9" t="n">
        <f aca="false">IF(S$3&lt;$B23,0,IF($C23="Instant",1,IF(S$3-$B23&gt;=2,1,IF(S$3-$B23=1,0.66,0.33))))</f>
        <v>1</v>
      </c>
      <c r="T23" s="9" t="n">
        <f aca="false">IF(T$3&lt;$B23,0,IF($C23="Instant",1,IF(T$3-$B23&gt;=2,1,IF(T$3-$B23=1,0.66,0.33))))</f>
        <v>1</v>
      </c>
      <c r="U23" s="9" t="n">
        <f aca="false">IF(U$3&lt;$B23,0,IF($C23="Instant",1,IF(U$3-$B23&gt;=2,1,IF(U$3-$B23=1,0.66,0.33))))</f>
        <v>1</v>
      </c>
      <c r="V23" s="9" t="n">
        <f aca="false">IF(V$3&lt;$B23,0,IF($C23="Instant",1,IF(V$3-$B23&gt;=2,1,IF(V$3-$B23=1,0.66,0.33))))</f>
        <v>1</v>
      </c>
      <c r="W23" s="9" t="n">
        <f aca="false">IF(W$3&lt;$B23,0,IF($C23="Instant",1,IF(W$3-$B23&gt;=2,1,IF(W$3-$B23=1,0.66,0.33))))</f>
        <v>1</v>
      </c>
      <c r="X23" s="9" t="n">
        <f aca="false">IF(X$3&lt;$B23,0,IF($C23="Instant",1,IF(X$3-$B23&gt;=2,1,IF(X$3-$B23=1,0.66,0.33))))</f>
        <v>1</v>
      </c>
      <c r="Y23" s="9" t="n">
        <f aca="false">IF(Y$3&lt;$B23,0,IF($C23="Instant",1,IF(Y$3-$B23&gt;=2,1,IF(Y$3-$B23=1,0.66,0.33))))</f>
        <v>1</v>
      </c>
      <c r="Z23" s="9" t="n">
        <f aca="false">IF(Z$3&lt;$B23,0,IF($C23="Instant",1,IF(Z$3-$B23&gt;=2,1,IF(Z$3-$B23=1,0.66,0.33))))</f>
        <v>1</v>
      </c>
      <c r="AA23" s="9" t="n">
        <f aca="false">IF(AA$3&lt;$B23,0,IF($C23="Instant",1,IF(AA$3-$B23&gt;=2,1,IF(AA$3-$B23=1,0.66,0.33))))</f>
        <v>1</v>
      </c>
      <c r="AB23" s="9" t="n">
        <f aca="false">IF(AB$3&lt;$B23,0,IF($C23="Instant",1,IF(AB$3-$B23&gt;=2,1,IF(AB$3-$B23=1,0.66,0.33))))</f>
        <v>1</v>
      </c>
    </row>
    <row r="24" customFormat="false" ht="15" hidden="false" customHeight="false" outlineLevel="0" collapsed="false">
      <c r="A24" s="0" t="s">
        <v>38</v>
      </c>
      <c r="B24" s="8" t="n">
        <v>1</v>
      </c>
      <c r="C24" s="8" t="s">
        <v>27</v>
      </c>
      <c r="E24" s="9" t="n">
        <f aca="false">IF(E$3&lt;$B24,0,IF($C24="Instant",1,IF(E$3-$B24&gt;=2,1,IF(E$3-$B24=1,0.66,0.33))))</f>
        <v>1</v>
      </c>
      <c r="F24" s="9" t="n">
        <f aca="false">IF(F$3&lt;$B24,0,IF($C24="Instant",1,IF(F$3-$B24&gt;=2,1,IF(F$3-$B24=1,0.66,0.33))))</f>
        <v>1</v>
      </c>
      <c r="G24" s="9" t="n">
        <f aca="false">IF(G$3&lt;$B24,0,IF($C24="Instant",1,IF(G$3-$B24&gt;=2,1,IF(G$3-$B24=1,0.66,0.33))))</f>
        <v>1</v>
      </c>
      <c r="H24" s="9" t="n">
        <f aca="false">IF(H$3&lt;$B24,0,IF($C24="Instant",1,IF(H$3-$B24&gt;=2,1,IF(H$3-$B24=1,0.66,0.33))))</f>
        <v>1</v>
      </c>
      <c r="I24" s="9" t="n">
        <f aca="false">IF(I$3&lt;$B24,0,IF($C24="Instant",1,IF(I$3-$B24&gt;=2,1,IF(I$3-$B24=1,0.66,0.33))))</f>
        <v>1</v>
      </c>
      <c r="J24" s="9" t="n">
        <f aca="false">IF(J$3&lt;$B24,0,IF($C24="Instant",1,IF(J$3-$B24&gt;=2,1,IF(J$3-$B24=1,0.66,0.33))))</f>
        <v>1</v>
      </c>
      <c r="K24" s="9" t="n">
        <f aca="false">IF(K$3&lt;$B24,0,IF($C24="Instant",1,IF(K$3-$B24&gt;=2,1,IF(K$3-$B24=1,0.66,0.33))))</f>
        <v>1</v>
      </c>
      <c r="L24" s="9" t="n">
        <f aca="false">IF(L$3&lt;$B24,0,IF($C24="Instant",1,IF(L$3-$B24&gt;=2,1,IF(L$3-$B24=1,0.66,0.33))))</f>
        <v>1</v>
      </c>
      <c r="M24" s="9" t="n">
        <f aca="false">IF(M$3&lt;$B24,0,IF($C24="Instant",1,IF(M$3-$B24&gt;=2,1,IF(M$3-$B24=1,0.66,0.33))))</f>
        <v>1</v>
      </c>
      <c r="N24" s="9" t="n">
        <f aca="false">IF(N$3&lt;$B24,0,IF($C24="Instant",1,IF(N$3-$B24&gt;=2,1,IF(N$3-$B24=1,0.66,0.33))))</f>
        <v>1</v>
      </c>
      <c r="O24" s="9" t="n">
        <f aca="false">IF(O$3&lt;$B24,0,IF($C24="Instant",1,IF(O$3-$B24&gt;=2,1,IF(O$3-$B24=1,0.66,0.33))))</f>
        <v>1</v>
      </c>
      <c r="P24" s="9" t="n">
        <f aca="false">IF(P$3&lt;$B24,0,IF($C24="Instant",1,IF(P$3-$B24&gt;=2,1,IF(P$3-$B24=1,0.66,0.33))))</f>
        <v>1</v>
      </c>
      <c r="Q24" s="9" t="n">
        <f aca="false">IF(Q$3&lt;$B24,0,IF($C24="Instant",1,IF(Q$3-$B24&gt;=2,1,IF(Q$3-$B24=1,0.66,0.33))))</f>
        <v>1</v>
      </c>
      <c r="R24" s="9" t="n">
        <f aca="false">IF(R$3&lt;$B24,0,IF($C24="Instant",1,IF(R$3-$B24&gt;=2,1,IF(R$3-$B24=1,0.66,0.33))))</f>
        <v>1</v>
      </c>
      <c r="S24" s="9" t="n">
        <f aca="false">IF(S$3&lt;$B24,0,IF($C24="Instant",1,IF(S$3-$B24&gt;=2,1,IF(S$3-$B24=1,0.66,0.33))))</f>
        <v>1</v>
      </c>
      <c r="T24" s="9" t="n">
        <f aca="false">IF(T$3&lt;$B24,0,IF($C24="Instant",1,IF(T$3-$B24&gt;=2,1,IF(T$3-$B24=1,0.66,0.33))))</f>
        <v>1</v>
      </c>
      <c r="U24" s="9" t="n">
        <f aca="false">IF(U$3&lt;$B24,0,IF($C24="Instant",1,IF(U$3-$B24&gt;=2,1,IF(U$3-$B24=1,0.66,0.33))))</f>
        <v>1</v>
      </c>
      <c r="V24" s="9" t="n">
        <f aca="false">IF(V$3&lt;$B24,0,IF($C24="Instant",1,IF(V$3-$B24&gt;=2,1,IF(V$3-$B24=1,0.66,0.33))))</f>
        <v>1</v>
      </c>
      <c r="W24" s="9" t="n">
        <f aca="false">IF(W$3&lt;$B24,0,IF($C24="Instant",1,IF(W$3-$B24&gt;=2,1,IF(W$3-$B24=1,0.66,0.33))))</f>
        <v>1</v>
      </c>
      <c r="X24" s="9" t="n">
        <f aca="false">IF(X$3&lt;$B24,0,IF($C24="Instant",1,IF(X$3-$B24&gt;=2,1,IF(X$3-$B24=1,0.66,0.33))))</f>
        <v>1</v>
      </c>
      <c r="Y24" s="9" t="n">
        <f aca="false">IF(Y$3&lt;$B24,0,IF($C24="Instant",1,IF(Y$3-$B24&gt;=2,1,IF(Y$3-$B24=1,0.66,0.33))))</f>
        <v>1</v>
      </c>
      <c r="Z24" s="9" t="n">
        <f aca="false">IF(Z$3&lt;$B24,0,IF($C24="Instant",1,IF(Z$3-$B24&gt;=2,1,IF(Z$3-$B24=1,0.66,0.33))))</f>
        <v>1</v>
      </c>
      <c r="AA24" s="9" t="n">
        <f aca="false">IF(AA$3&lt;$B24,0,IF($C24="Instant",1,IF(AA$3-$B24&gt;=2,1,IF(AA$3-$B24=1,0.66,0.33))))</f>
        <v>1</v>
      </c>
      <c r="AB24" s="9" t="n">
        <f aca="false">IF(AB$3&lt;$B24,0,IF($C24="Instant",1,IF(AB$3-$B24&gt;=2,1,IF(AB$3-$B24=1,0.66,0.33))))</f>
        <v>1</v>
      </c>
    </row>
    <row r="26" customFormat="false" ht="15" hidden="false" customHeight="false" outlineLevel="0" collapsed="false">
      <c r="A26" s="6" t="s">
        <v>39</v>
      </c>
    </row>
    <row r="27" customFormat="false" ht="15" hidden="false" customHeight="false" outlineLevel="0" collapsed="false">
      <c r="A27" s="0" t="s">
        <v>37</v>
      </c>
      <c r="E27" s="12" t="n">
        <f aca="false">E23*Assumptions!$B$13</f>
        <v>6</v>
      </c>
      <c r="F27" s="12" t="n">
        <f aca="false">F23*Assumptions!$B$13</f>
        <v>6</v>
      </c>
      <c r="G27" s="12" t="n">
        <f aca="false">G23*Assumptions!$B$13</f>
        <v>6</v>
      </c>
      <c r="H27" s="12" t="n">
        <f aca="false">H23*Assumptions!$B$13</f>
        <v>6</v>
      </c>
      <c r="I27" s="12" t="n">
        <f aca="false">I23*Assumptions!$B$13</f>
        <v>6</v>
      </c>
      <c r="J27" s="12" t="n">
        <f aca="false">J23*Assumptions!$B$13</f>
        <v>6</v>
      </c>
      <c r="K27" s="12" t="n">
        <f aca="false">K23*Assumptions!$B$13</f>
        <v>6</v>
      </c>
      <c r="L27" s="12" t="n">
        <f aca="false">L23*Assumptions!$B$13</f>
        <v>6</v>
      </c>
      <c r="M27" s="12" t="n">
        <f aca="false">M23*Assumptions!$B$13</f>
        <v>6</v>
      </c>
      <c r="N27" s="12" t="n">
        <f aca="false">N23*Assumptions!$B$13</f>
        <v>6</v>
      </c>
      <c r="O27" s="12" t="n">
        <f aca="false">O23*Assumptions!$B$13</f>
        <v>6</v>
      </c>
      <c r="P27" s="12" t="n">
        <f aca="false">P23*Assumptions!$B$13</f>
        <v>6</v>
      </c>
      <c r="Q27" s="12" t="n">
        <f aca="false">Q23*Assumptions!$B$13</f>
        <v>6</v>
      </c>
      <c r="R27" s="12" t="n">
        <f aca="false">R23*Assumptions!$B$13</f>
        <v>6</v>
      </c>
      <c r="S27" s="12" t="n">
        <f aca="false">S23*Assumptions!$B$13</f>
        <v>6</v>
      </c>
      <c r="T27" s="12" t="n">
        <f aca="false">T23*Assumptions!$B$13</f>
        <v>6</v>
      </c>
      <c r="U27" s="12" t="n">
        <f aca="false">U23*Assumptions!$B$13</f>
        <v>6</v>
      </c>
      <c r="V27" s="12" t="n">
        <f aca="false">V23*Assumptions!$B$13</f>
        <v>6</v>
      </c>
      <c r="W27" s="12" t="n">
        <f aca="false">W23*Assumptions!$B$13</f>
        <v>6</v>
      </c>
      <c r="X27" s="12" t="n">
        <f aca="false">X23*Assumptions!$B$13</f>
        <v>6</v>
      </c>
      <c r="Y27" s="12" t="n">
        <f aca="false">Y23*Assumptions!$B$13</f>
        <v>6</v>
      </c>
      <c r="Z27" s="12" t="n">
        <f aca="false">Z23*Assumptions!$B$13</f>
        <v>6</v>
      </c>
      <c r="AA27" s="12" t="n">
        <f aca="false">AA23*Assumptions!$B$13</f>
        <v>6</v>
      </c>
      <c r="AB27" s="12" t="n">
        <f aca="false">AB23*Assumptions!$B$13</f>
        <v>6</v>
      </c>
    </row>
    <row r="28" customFormat="false" ht="15" hidden="false" customHeight="false" outlineLevel="0" collapsed="false">
      <c r="A28" s="0" t="s">
        <v>38</v>
      </c>
      <c r="E28" s="12" t="n">
        <f aca="false">E24*Assumptions!$B$13</f>
        <v>6</v>
      </c>
      <c r="F28" s="12" t="n">
        <f aca="false">F24*Assumptions!$B$13</f>
        <v>6</v>
      </c>
      <c r="G28" s="12" t="n">
        <f aca="false">G24*Assumptions!$B$13</f>
        <v>6</v>
      </c>
      <c r="H28" s="12" t="n">
        <f aca="false">H24*Assumptions!$B$13</f>
        <v>6</v>
      </c>
      <c r="I28" s="12" t="n">
        <f aca="false">I24*Assumptions!$B$13</f>
        <v>6</v>
      </c>
      <c r="J28" s="12" t="n">
        <f aca="false">J24*Assumptions!$B$13</f>
        <v>6</v>
      </c>
      <c r="K28" s="12" t="n">
        <f aca="false">K24*Assumptions!$B$13</f>
        <v>6</v>
      </c>
      <c r="L28" s="12" t="n">
        <f aca="false">L24*Assumptions!$B$13</f>
        <v>6</v>
      </c>
      <c r="M28" s="12" t="n">
        <f aca="false">M24*Assumptions!$B$13</f>
        <v>6</v>
      </c>
      <c r="N28" s="12" t="n">
        <f aca="false">N24*Assumptions!$B$13</f>
        <v>6</v>
      </c>
      <c r="O28" s="12" t="n">
        <f aca="false">O24*Assumptions!$B$13</f>
        <v>6</v>
      </c>
      <c r="P28" s="12" t="n">
        <f aca="false">P24*Assumptions!$B$13</f>
        <v>6</v>
      </c>
      <c r="Q28" s="12" t="n">
        <f aca="false">Q24*Assumptions!$B$13</f>
        <v>6</v>
      </c>
      <c r="R28" s="12" t="n">
        <f aca="false">R24*Assumptions!$B$13</f>
        <v>6</v>
      </c>
      <c r="S28" s="12" t="n">
        <f aca="false">S24*Assumptions!$B$13</f>
        <v>6</v>
      </c>
      <c r="T28" s="12" t="n">
        <f aca="false">T24*Assumptions!$B$13</f>
        <v>6</v>
      </c>
      <c r="U28" s="12" t="n">
        <f aca="false">U24*Assumptions!$B$13</f>
        <v>6</v>
      </c>
      <c r="V28" s="12" t="n">
        <f aca="false">V24*Assumptions!$B$13</f>
        <v>6</v>
      </c>
      <c r="W28" s="12" t="n">
        <f aca="false">W24*Assumptions!$B$13</f>
        <v>6</v>
      </c>
      <c r="X28" s="12" t="n">
        <f aca="false">X24*Assumptions!$B$13</f>
        <v>6</v>
      </c>
      <c r="Y28" s="12" t="n">
        <f aca="false">Y24*Assumptions!$B$13</f>
        <v>6</v>
      </c>
      <c r="Z28" s="12" t="n">
        <f aca="false">Z24*Assumptions!$B$13</f>
        <v>6</v>
      </c>
      <c r="AA28" s="12" t="n">
        <f aca="false">AA24*Assumptions!$B$13</f>
        <v>6</v>
      </c>
      <c r="AB28" s="12" t="n">
        <f aca="false">AB24*Assumptions!$B$13</f>
        <v>6</v>
      </c>
    </row>
    <row r="29" customFormat="false" ht="15" hidden="false" customHeight="false" outlineLevel="0" collapsed="false">
      <c r="A29" s="6" t="s">
        <v>40</v>
      </c>
      <c r="E29" s="13" t="n">
        <f aca="false">E27+E28</f>
        <v>12</v>
      </c>
      <c r="F29" s="13" t="n">
        <f aca="false">F27+F28</f>
        <v>12</v>
      </c>
      <c r="G29" s="13" t="n">
        <f aca="false">G27+G28</f>
        <v>12</v>
      </c>
      <c r="H29" s="13" t="n">
        <f aca="false">H27+H28</f>
        <v>12</v>
      </c>
      <c r="I29" s="13" t="n">
        <f aca="false">I27+I28</f>
        <v>12</v>
      </c>
      <c r="J29" s="13" t="n">
        <f aca="false">J27+J28</f>
        <v>12</v>
      </c>
      <c r="K29" s="13" t="n">
        <f aca="false">K27+K28</f>
        <v>12</v>
      </c>
      <c r="L29" s="13" t="n">
        <f aca="false">L27+L28</f>
        <v>12</v>
      </c>
      <c r="M29" s="13" t="n">
        <f aca="false">M27+M28</f>
        <v>12</v>
      </c>
      <c r="N29" s="13" t="n">
        <f aca="false">N27+N28</f>
        <v>12</v>
      </c>
      <c r="O29" s="13" t="n">
        <f aca="false">O27+O28</f>
        <v>12</v>
      </c>
      <c r="P29" s="13" t="n">
        <f aca="false">P27+P28</f>
        <v>12</v>
      </c>
      <c r="Q29" s="13" t="n">
        <f aca="false">Q27+Q28</f>
        <v>12</v>
      </c>
      <c r="R29" s="13" t="n">
        <f aca="false">R27+R28</f>
        <v>12</v>
      </c>
      <c r="S29" s="13" t="n">
        <f aca="false">S27+S28</f>
        <v>12</v>
      </c>
      <c r="T29" s="13" t="n">
        <f aca="false">T27+T28</f>
        <v>12</v>
      </c>
      <c r="U29" s="13" t="n">
        <f aca="false">U27+U28</f>
        <v>12</v>
      </c>
      <c r="V29" s="13" t="n">
        <f aca="false">V27+V28</f>
        <v>12</v>
      </c>
      <c r="W29" s="13" t="n">
        <f aca="false">W27+W28</f>
        <v>12</v>
      </c>
      <c r="X29" s="13" t="n">
        <f aca="false">X27+X28</f>
        <v>12</v>
      </c>
      <c r="Y29" s="13" t="n">
        <f aca="false">Y27+Y28</f>
        <v>12</v>
      </c>
      <c r="Z29" s="13" t="n">
        <f aca="false">Z27+Z28</f>
        <v>12</v>
      </c>
      <c r="AA29" s="13" t="n">
        <f aca="false">AA27+AA28</f>
        <v>12</v>
      </c>
      <c r="AB29" s="13" t="n">
        <f aca="false">AB27+AB28</f>
        <v>12</v>
      </c>
    </row>
    <row r="31" customFormat="false" ht="15" hidden="false" customHeight="false" outlineLevel="0" collapsed="false">
      <c r="A31" s="6" t="s">
        <v>41</v>
      </c>
      <c r="E31" s="12" t="n">
        <f aca="false">Assumptions!$B$15*Assumptions!$B$16*Assumptions!$B$17</f>
        <v>37.5</v>
      </c>
      <c r="F31" s="12" t="n">
        <f aca="false">Assumptions!$B$15*Assumptions!$B$16*Assumptions!$B$17</f>
        <v>37.5</v>
      </c>
      <c r="G31" s="12" t="n">
        <f aca="false">Assumptions!$B$15*Assumptions!$B$16*Assumptions!$B$17</f>
        <v>37.5</v>
      </c>
      <c r="H31" s="12" t="n">
        <f aca="false">Assumptions!$B$15*Assumptions!$B$16*Assumptions!$B$17</f>
        <v>37.5</v>
      </c>
      <c r="I31" s="12" t="n">
        <f aca="false">Assumptions!$B$15*Assumptions!$B$16*Assumptions!$B$17</f>
        <v>37.5</v>
      </c>
      <c r="J31" s="12" t="n">
        <f aca="false">Assumptions!$B$15*Assumptions!$B$16*Assumptions!$B$17</f>
        <v>37.5</v>
      </c>
      <c r="K31" s="12" t="n">
        <f aca="false">Assumptions!$B$15*Assumptions!$B$16*Assumptions!$B$17</f>
        <v>37.5</v>
      </c>
      <c r="L31" s="12" t="n">
        <f aca="false">Assumptions!$B$15*Assumptions!$B$16*Assumptions!$B$17</f>
        <v>37.5</v>
      </c>
      <c r="M31" s="12" t="n">
        <f aca="false">Assumptions!$B$15*Assumptions!$B$16*Assumptions!$B$17</f>
        <v>37.5</v>
      </c>
      <c r="N31" s="12" t="n">
        <f aca="false">Assumptions!$B$15*Assumptions!$B$16*Assumptions!$B$17</f>
        <v>37.5</v>
      </c>
      <c r="O31" s="12" t="n">
        <f aca="false">Assumptions!$B$15*Assumptions!$B$16*Assumptions!$B$17</f>
        <v>37.5</v>
      </c>
      <c r="P31" s="12" t="n">
        <f aca="false">Assumptions!$B$15*Assumptions!$B$16*Assumptions!$B$17</f>
        <v>37.5</v>
      </c>
      <c r="Q31" s="12" t="n">
        <f aca="false">Assumptions!$B$15*Assumptions!$B$16*Assumptions!$B$17</f>
        <v>37.5</v>
      </c>
      <c r="R31" s="12" t="n">
        <f aca="false">Assumptions!$B$15*Assumptions!$B$16*Assumptions!$B$17</f>
        <v>37.5</v>
      </c>
      <c r="S31" s="12" t="n">
        <f aca="false">Assumptions!$B$15*Assumptions!$B$16*Assumptions!$B$17</f>
        <v>37.5</v>
      </c>
      <c r="T31" s="12" t="n">
        <f aca="false">Assumptions!$B$15*Assumptions!$B$16*Assumptions!$B$17</f>
        <v>37.5</v>
      </c>
      <c r="U31" s="12" t="n">
        <f aca="false">Assumptions!$B$15*Assumptions!$B$16*Assumptions!$B$17</f>
        <v>37.5</v>
      </c>
      <c r="V31" s="12" t="n">
        <f aca="false">Assumptions!$B$15*Assumptions!$B$16*Assumptions!$B$17</f>
        <v>37.5</v>
      </c>
      <c r="W31" s="12" t="n">
        <f aca="false">Assumptions!$B$15*Assumptions!$B$16*Assumptions!$B$17</f>
        <v>37.5</v>
      </c>
      <c r="X31" s="12" t="n">
        <f aca="false">Assumptions!$B$15*Assumptions!$B$16*Assumptions!$B$17</f>
        <v>37.5</v>
      </c>
      <c r="Y31" s="12" t="n">
        <f aca="false">Assumptions!$B$15*Assumptions!$B$16*Assumptions!$B$17</f>
        <v>37.5</v>
      </c>
      <c r="Z31" s="12" t="n">
        <f aca="false">Assumptions!$B$15*Assumptions!$B$16*Assumptions!$B$17</f>
        <v>37.5</v>
      </c>
      <c r="AA31" s="12" t="n">
        <f aca="false">Assumptions!$B$15*Assumptions!$B$16*Assumptions!$B$17</f>
        <v>37.5</v>
      </c>
      <c r="AB31" s="12" t="n">
        <f aca="false">Assumptions!$B$15*Assumptions!$B$16*Assumptions!$B$17</f>
        <v>37.5</v>
      </c>
    </row>
    <row r="33" customFormat="false" ht="15" hidden="false" customHeight="false" outlineLevel="0" collapsed="false">
      <c r="A33" s="6" t="s">
        <v>42</v>
      </c>
      <c r="E33" s="10" t="n">
        <f aca="false">E31*Assumptions!$B$21*Assumptions!$B$20+E29*Assumptions!$B$22*Assumptions!$B$20+E20*Assumptions!$B$23*Assumptions!$B$20</f>
        <v>237150</v>
      </c>
      <c r="F33" s="10" t="n">
        <f aca="false">F31*Assumptions!$B$21*Assumptions!$B$20+F29*Assumptions!$B$22*Assumptions!$B$20+F20*Assumptions!$B$23*Assumptions!$B$20</f>
        <v>237150</v>
      </c>
      <c r="G33" s="10" t="n">
        <f aca="false">G31*Assumptions!$B$21*Assumptions!$B$20+G29*Assumptions!$B$22*Assumptions!$B$20+G20*Assumptions!$B$23*Assumptions!$B$20</f>
        <v>237150</v>
      </c>
      <c r="H33" s="10" t="n">
        <f aca="false">H31*Assumptions!$B$21*Assumptions!$B$20+H29*Assumptions!$B$22*Assumptions!$B$20+H20*Assumptions!$B$23*Assumptions!$B$20</f>
        <v>241308</v>
      </c>
      <c r="I33" s="10" t="n">
        <f aca="false">I31*Assumptions!$B$21*Assumptions!$B$20+I29*Assumptions!$B$22*Assumptions!$B$20+I20*Assumptions!$B$23*Assumptions!$B$20</f>
        <v>245466</v>
      </c>
      <c r="J33" s="10" t="n">
        <f aca="false">J31*Assumptions!$B$21*Assumptions!$B$20+J29*Assumptions!$B$22*Assumptions!$B$20+J20*Assumptions!$B$23*Assumptions!$B$20</f>
        <v>249750</v>
      </c>
      <c r="K33" s="10" t="n">
        <f aca="false">K31*Assumptions!$B$21*Assumptions!$B$20+K29*Assumptions!$B$22*Assumptions!$B$20+K20*Assumptions!$B$23*Assumptions!$B$20</f>
        <v>249750</v>
      </c>
      <c r="L33" s="10" t="n">
        <f aca="false">L31*Assumptions!$B$21*Assumptions!$B$20+L29*Assumptions!$B$22*Assumptions!$B$20+L20*Assumptions!$B$23*Assumptions!$B$20</f>
        <v>249750</v>
      </c>
      <c r="M33" s="10" t="n">
        <f aca="false">M31*Assumptions!$B$21*Assumptions!$B$20+M29*Assumptions!$B$22*Assumptions!$B$20+M20*Assumptions!$B$23*Assumptions!$B$20</f>
        <v>249750</v>
      </c>
      <c r="N33" s="10" t="n">
        <f aca="false">N31*Assumptions!$B$21*Assumptions!$B$20+N29*Assumptions!$B$22*Assumptions!$B$20+N20*Assumptions!$B$23*Assumptions!$B$20</f>
        <v>249750</v>
      </c>
      <c r="O33" s="10" t="n">
        <f aca="false">O31*Assumptions!$B$21*Assumptions!$B$20+O29*Assumptions!$B$22*Assumptions!$B$20+O20*Assumptions!$B$23*Assumptions!$B$20</f>
        <v>249750</v>
      </c>
      <c r="P33" s="10" t="n">
        <f aca="false">P31*Assumptions!$B$21*Assumptions!$B$20+P29*Assumptions!$B$22*Assumptions!$B$20+P20*Assumptions!$B$23*Assumptions!$B$20</f>
        <v>249750</v>
      </c>
      <c r="Q33" s="10" t="n">
        <f aca="false">Q31*Assumptions!$B$21*Assumptions!$B$20+Q29*Assumptions!$B$22*Assumptions!$B$20+Q20*Assumptions!$B$23*Assumptions!$B$20</f>
        <v>249750</v>
      </c>
      <c r="R33" s="10" t="n">
        <f aca="false">R31*Assumptions!$B$21*Assumptions!$B$20+R29*Assumptions!$B$22*Assumptions!$B$20+R20*Assumptions!$B$23*Assumptions!$B$20</f>
        <v>249750</v>
      </c>
      <c r="S33" s="10" t="n">
        <f aca="false">S31*Assumptions!$B$21*Assumptions!$B$20+S29*Assumptions!$B$22*Assumptions!$B$20+S20*Assumptions!$B$23*Assumptions!$B$20</f>
        <v>249750</v>
      </c>
      <c r="T33" s="10" t="n">
        <f aca="false">T31*Assumptions!$B$21*Assumptions!$B$20+T29*Assumptions!$B$22*Assumptions!$B$20+T20*Assumptions!$B$23*Assumptions!$B$20</f>
        <v>249750</v>
      </c>
      <c r="U33" s="10" t="n">
        <f aca="false">U31*Assumptions!$B$21*Assumptions!$B$20+U29*Assumptions!$B$22*Assumptions!$B$20+U20*Assumptions!$B$23*Assumptions!$B$20</f>
        <v>249750</v>
      </c>
      <c r="V33" s="10" t="n">
        <f aca="false">V31*Assumptions!$B$21*Assumptions!$B$20+V29*Assumptions!$B$22*Assumptions!$B$20+V20*Assumptions!$B$23*Assumptions!$B$20</f>
        <v>249750</v>
      </c>
      <c r="W33" s="10" t="n">
        <f aca="false">W31*Assumptions!$B$21*Assumptions!$B$20+W29*Assumptions!$B$22*Assumptions!$B$20+W20*Assumptions!$B$23*Assumptions!$B$20</f>
        <v>249750</v>
      </c>
      <c r="X33" s="10" t="n">
        <f aca="false">X31*Assumptions!$B$21*Assumptions!$B$20+X29*Assumptions!$B$22*Assumptions!$B$20+X20*Assumptions!$B$23*Assumptions!$B$20</f>
        <v>249750</v>
      </c>
      <c r="Y33" s="10" t="n">
        <f aca="false">Y31*Assumptions!$B$21*Assumptions!$B$20+Y29*Assumptions!$B$22*Assumptions!$B$20+Y20*Assumptions!$B$23*Assumptions!$B$20</f>
        <v>249750</v>
      </c>
      <c r="Z33" s="10" t="n">
        <f aca="false">Z31*Assumptions!$B$21*Assumptions!$B$20+Z29*Assumptions!$B$22*Assumptions!$B$20+Z20*Assumptions!$B$23*Assumptions!$B$20</f>
        <v>249750</v>
      </c>
      <c r="AA33" s="10" t="n">
        <f aca="false">AA31*Assumptions!$B$21*Assumptions!$B$20+AA29*Assumptions!$B$22*Assumptions!$B$20+AA20*Assumptions!$B$23*Assumptions!$B$20</f>
        <v>249750</v>
      </c>
      <c r="AB33" s="10" t="n">
        <f aca="false">AB31*Assumptions!$B$21*Assumptions!$B$20+AB29*Assumptions!$B$22*Assumptions!$B$20+AB20*Assumptions!$B$23*Assumptions!$B$20</f>
        <v>249750</v>
      </c>
    </row>
    <row r="34" customFormat="false" ht="15" hidden="false" customHeight="false" outlineLevel="0" collapsed="false">
      <c r="A34" s="6" t="s">
        <v>43</v>
      </c>
      <c r="E34" s="11" t="n">
        <f aca="false">MIN(E14,E33)*Assumptions!$B$24</f>
        <v>183333.333333333</v>
      </c>
      <c r="F34" s="11" t="n">
        <f aca="false">MIN(F14,F33)*Assumptions!$B$24</f>
        <v>183333.333333333</v>
      </c>
      <c r="G34" s="11" t="n">
        <f aca="false">MIN(G14,G33)*Assumptions!$B$24</f>
        <v>183333.333333333</v>
      </c>
      <c r="H34" s="11" t="n">
        <f aca="false">MIN(H14,H33)*Assumptions!$B$24</f>
        <v>213583.333333333</v>
      </c>
      <c r="I34" s="11" t="n">
        <f aca="false">MIN(I14,I33)*Assumptions!$B$24</f>
        <v>243833.333333333</v>
      </c>
      <c r="J34" s="11" t="n">
        <f aca="false">MIN(J14,J33)*Assumptions!$B$24</f>
        <v>249750</v>
      </c>
      <c r="K34" s="11" t="n">
        <f aca="false">MIN(K14,K33)*Assumptions!$B$24</f>
        <v>249750</v>
      </c>
      <c r="L34" s="11" t="n">
        <f aca="false">MIN(L14,L33)*Assumptions!$B$24</f>
        <v>249750</v>
      </c>
      <c r="M34" s="11" t="n">
        <f aca="false">MIN(M14,M33)*Assumptions!$B$24</f>
        <v>249750</v>
      </c>
      <c r="N34" s="11" t="n">
        <f aca="false">MIN(N14,N33)*Assumptions!$B$24</f>
        <v>249750</v>
      </c>
      <c r="O34" s="11" t="n">
        <f aca="false">MIN(O14,O33)*Assumptions!$B$24</f>
        <v>249750</v>
      </c>
      <c r="P34" s="11" t="n">
        <f aca="false">MIN(P14,P33)*Assumptions!$B$24</f>
        <v>249750</v>
      </c>
      <c r="Q34" s="11" t="n">
        <f aca="false">MIN(Q14,Q33)*Assumptions!$B$24</f>
        <v>249750</v>
      </c>
      <c r="R34" s="11" t="n">
        <f aca="false">MIN(R14,R33)*Assumptions!$B$24</f>
        <v>249750</v>
      </c>
      <c r="S34" s="11" t="n">
        <f aca="false">MIN(S14,S33)*Assumptions!$B$24</f>
        <v>249750</v>
      </c>
      <c r="T34" s="11" t="n">
        <f aca="false">MIN(T14,T33)*Assumptions!$B$24</f>
        <v>249750</v>
      </c>
      <c r="U34" s="11" t="n">
        <f aca="false">MIN(U14,U33)*Assumptions!$B$24</f>
        <v>249750</v>
      </c>
      <c r="V34" s="11" t="n">
        <f aca="false">MIN(V14,V33)*Assumptions!$B$24</f>
        <v>249750</v>
      </c>
      <c r="W34" s="11" t="n">
        <f aca="false">MIN(W14,W33)*Assumptions!$B$24</f>
        <v>249750</v>
      </c>
      <c r="X34" s="11" t="n">
        <f aca="false">MIN(X14,X33)*Assumptions!$B$24</f>
        <v>249750</v>
      </c>
      <c r="Y34" s="11" t="n">
        <f aca="false">MIN(Y14,Y33)*Assumptions!$B$24</f>
        <v>249750</v>
      </c>
      <c r="Z34" s="11" t="n">
        <f aca="false">MIN(Z14,Z33)*Assumptions!$B$24</f>
        <v>249750</v>
      </c>
      <c r="AA34" s="11" t="n">
        <f aca="false">MIN(AA14,AA33)*Assumptions!$B$24</f>
        <v>249750</v>
      </c>
      <c r="AB34" s="11" t="n">
        <f aca="false">MIN(AB14,AB33)*Assumptions!$B$24</f>
        <v>249750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9" min="5" style="0" width="13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15" hidden="false" customHeight="false" outlineLevel="0" collapsed="false">
      <c r="D4" s="6" t="s">
        <v>24</v>
      </c>
      <c r="J4" s="14" t="n">
        <v>1</v>
      </c>
      <c r="K4" s="14" t="n">
        <v>2</v>
      </c>
      <c r="L4" s="14" t="n">
        <v>3</v>
      </c>
      <c r="M4" s="14" t="n">
        <v>4</v>
      </c>
      <c r="N4" s="14" t="n">
        <v>5</v>
      </c>
      <c r="O4" s="14" t="n">
        <v>6</v>
      </c>
      <c r="P4" s="14" t="n">
        <v>7</v>
      </c>
      <c r="Q4" s="14" t="n">
        <v>8</v>
      </c>
      <c r="R4" s="14" t="n">
        <v>9</v>
      </c>
      <c r="S4" s="14" t="n">
        <v>10</v>
      </c>
      <c r="T4" s="14" t="n">
        <v>11</v>
      </c>
      <c r="U4" s="14" t="n">
        <v>12</v>
      </c>
      <c r="V4" s="14" t="n">
        <v>13</v>
      </c>
      <c r="W4" s="14" t="n">
        <v>14</v>
      </c>
      <c r="X4" s="14" t="n">
        <v>15</v>
      </c>
      <c r="Y4" s="14" t="n">
        <v>16</v>
      </c>
      <c r="Z4" s="14" t="n">
        <v>17</v>
      </c>
      <c r="AA4" s="14" t="n">
        <v>18</v>
      </c>
      <c r="AB4" s="14" t="n">
        <v>19</v>
      </c>
      <c r="AC4" s="14" t="n">
        <v>20</v>
      </c>
      <c r="AD4" s="14" t="n">
        <v>21</v>
      </c>
      <c r="AE4" s="14" t="n">
        <v>22</v>
      </c>
      <c r="AF4" s="14" t="n">
        <v>23</v>
      </c>
      <c r="AG4" s="14" t="n">
        <v>24</v>
      </c>
    </row>
    <row r="5" customFormat="false" ht="15" hidden="false" customHeight="false" outlineLevel="0" collapsed="false">
      <c r="A5" s="6" t="s">
        <v>46</v>
      </c>
      <c r="B5" s="6" t="s">
        <v>47</v>
      </c>
      <c r="C5" s="6" t="s">
        <v>48</v>
      </c>
      <c r="D5" s="6" t="s">
        <v>49</v>
      </c>
      <c r="E5" s="6" t="s">
        <v>50</v>
      </c>
      <c r="F5" s="6" t="s">
        <v>51</v>
      </c>
      <c r="G5" s="6" t="s">
        <v>52</v>
      </c>
      <c r="H5" s="6" t="s">
        <v>53</v>
      </c>
      <c r="I5" s="6" t="s">
        <v>54</v>
      </c>
    </row>
    <row r="6" customFormat="false" ht="15" hidden="false" customHeight="false" outlineLevel="0" collapsed="false">
      <c r="A6" s="0" t="s">
        <v>55</v>
      </c>
      <c r="B6" s="15" t="n">
        <v>1</v>
      </c>
      <c r="C6" s="15" t="n">
        <f aca="false">B6+Assumptions!$B$6</f>
        <v>3</v>
      </c>
      <c r="D6" s="15" t="n">
        <f aca="false">C6+Assumptions!$B$5-1</f>
        <v>14</v>
      </c>
      <c r="E6" s="16" t="n">
        <f aca="false">'Capacity &amp; Bookings'!E34</f>
        <v>183333.333333333</v>
      </c>
      <c r="J6" s="10" t="n">
        <f aca="false">IF(AND(J$4&gt;=$C6,J$4&lt;=$D6),$E6/Assumptions!$B$5,0)</f>
        <v>0</v>
      </c>
      <c r="K6" s="10" t="n">
        <f aca="false">IF(AND(K$4&gt;=$C6,K$4&lt;=$D6),$E6/Assumptions!$B$5,0)</f>
        <v>0</v>
      </c>
      <c r="L6" s="10" t="n">
        <f aca="false">IF(AND(L$4&gt;=$C6,L$4&lt;=$D6),$E6/Assumptions!$B$5,0)</f>
        <v>15277.7777777778</v>
      </c>
      <c r="M6" s="10" t="n">
        <f aca="false">IF(AND(M$4&gt;=$C6,M$4&lt;=$D6),$E6/Assumptions!$B$5,0)</f>
        <v>15277.7777777778</v>
      </c>
      <c r="N6" s="10" t="n">
        <f aca="false">IF(AND(N$4&gt;=$C6,N$4&lt;=$D6),$E6/Assumptions!$B$5,0)</f>
        <v>15277.7777777778</v>
      </c>
      <c r="O6" s="10" t="n">
        <f aca="false">IF(AND(O$4&gt;=$C6,O$4&lt;=$D6),$E6/Assumptions!$B$5,0)</f>
        <v>15277.7777777778</v>
      </c>
      <c r="P6" s="10" t="n">
        <f aca="false">IF(AND(P$4&gt;=$C6,P$4&lt;=$D6),$E6/Assumptions!$B$5,0)</f>
        <v>15277.7777777778</v>
      </c>
      <c r="Q6" s="10" t="n">
        <f aca="false">IF(AND(Q$4&gt;=$C6,Q$4&lt;=$D6),$E6/Assumptions!$B$5,0)</f>
        <v>15277.7777777778</v>
      </c>
      <c r="R6" s="10" t="n">
        <f aca="false">IF(AND(R$4&gt;=$C6,R$4&lt;=$D6),$E6/Assumptions!$B$5,0)</f>
        <v>15277.7777777778</v>
      </c>
      <c r="S6" s="10" t="n">
        <f aca="false">IF(AND(S$4&gt;=$C6,S$4&lt;=$D6),$E6/Assumptions!$B$5,0)</f>
        <v>15277.7777777778</v>
      </c>
      <c r="T6" s="10" t="n">
        <f aca="false">IF(AND(T$4&gt;=$C6,T$4&lt;=$D6),$E6/Assumptions!$B$5,0)</f>
        <v>15277.7777777778</v>
      </c>
      <c r="U6" s="10" t="n">
        <f aca="false">IF(AND(U$4&gt;=$C6,U$4&lt;=$D6),$E6/Assumptions!$B$5,0)</f>
        <v>15277.7777777778</v>
      </c>
      <c r="V6" s="10" t="n">
        <f aca="false">IF(AND(V$4&gt;=$C6,V$4&lt;=$D6),$E6/Assumptions!$B$5,0)</f>
        <v>15277.7777777778</v>
      </c>
      <c r="W6" s="10" t="n">
        <f aca="false">IF(AND(W$4&gt;=$C6,W$4&lt;=$D6),$E6/Assumptions!$B$5,0)</f>
        <v>15277.7777777778</v>
      </c>
      <c r="X6" s="10" t="n">
        <f aca="false">IF(AND(X$4&gt;=$C6,X$4&lt;=$D6),$E6/Assumptions!$B$5,0)</f>
        <v>0</v>
      </c>
      <c r="Y6" s="10" t="n">
        <f aca="false">IF(AND(Y$4&gt;=$C6,Y$4&lt;=$D6),$E6/Assumptions!$B$5,0)</f>
        <v>0</v>
      </c>
      <c r="Z6" s="10" t="n">
        <f aca="false">IF(AND(Z$4&gt;=$C6,Z$4&lt;=$D6),$E6/Assumptions!$B$5,0)</f>
        <v>0</v>
      </c>
      <c r="AA6" s="10" t="n">
        <f aca="false">IF(AND(AA$4&gt;=$C6,AA$4&lt;=$D6),$E6/Assumptions!$B$5,0)</f>
        <v>0</v>
      </c>
      <c r="AB6" s="10" t="n">
        <f aca="false">IF(AND(AB$4&gt;=$C6,AB$4&lt;=$D6),$E6/Assumptions!$B$5,0)</f>
        <v>0</v>
      </c>
      <c r="AC6" s="10" t="n">
        <f aca="false">IF(AND(AC$4&gt;=$C6,AC$4&lt;=$D6),$E6/Assumptions!$B$5,0)</f>
        <v>0</v>
      </c>
      <c r="AD6" s="10" t="n">
        <f aca="false">IF(AND(AD$4&gt;=$C6,AD$4&lt;=$D6),$E6/Assumptions!$B$5,0)</f>
        <v>0</v>
      </c>
      <c r="AE6" s="10" t="n">
        <f aca="false">IF(AND(AE$4&gt;=$C6,AE$4&lt;=$D6),$E6/Assumptions!$B$5,0)</f>
        <v>0</v>
      </c>
      <c r="AF6" s="10" t="n">
        <f aca="false">IF(AND(AF$4&gt;=$C6,AF$4&lt;=$D6),$E6/Assumptions!$B$5,0)</f>
        <v>0</v>
      </c>
      <c r="AG6" s="10" t="n">
        <f aca="false">IF(AND(AG$4&gt;=$C6,AG$4&lt;=$D6),$E6/Assumptions!$B$5,0)</f>
        <v>0</v>
      </c>
    </row>
    <row r="7" customFormat="false" ht="15" hidden="false" customHeight="false" outlineLevel="0" collapsed="false">
      <c r="A7" s="0" t="s">
        <v>56</v>
      </c>
      <c r="B7" s="15" t="n">
        <v>2</v>
      </c>
      <c r="C7" s="15" t="n">
        <f aca="false">B7+Assumptions!$B$6</f>
        <v>4</v>
      </c>
      <c r="D7" s="15" t="n">
        <f aca="false">C7+Assumptions!$B$5-1</f>
        <v>15</v>
      </c>
      <c r="E7" s="16" t="n">
        <f aca="false">'Capacity &amp; Bookings'!F34</f>
        <v>183333.333333333</v>
      </c>
      <c r="J7" s="10" t="n">
        <f aca="false">IF(AND(J$4&gt;=$C7,J$4&lt;=$D7),$E7/Assumptions!$B$5,0)</f>
        <v>0</v>
      </c>
      <c r="K7" s="10" t="n">
        <f aca="false">IF(AND(K$4&gt;=$C7,K$4&lt;=$D7),$E7/Assumptions!$B$5,0)</f>
        <v>0</v>
      </c>
      <c r="L7" s="10" t="n">
        <f aca="false">IF(AND(L$4&gt;=$C7,L$4&lt;=$D7),$E7/Assumptions!$B$5,0)</f>
        <v>0</v>
      </c>
      <c r="M7" s="10" t="n">
        <f aca="false">IF(AND(M$4&gt;=$C7,M$4&lt;=$D7),$E7/Assumptions!$B$5,0)</f>
        <v>15277.7777777778</v>
      </c>
      <c r="N7" s="10" t="n">
        <f aca="false">IF(AND(N$4&gt;=$C7,N$4&lt;=$D7),$E7/Assumptions!$B$5,0)</f>
        <v>15277.7777777778</v>
      </c>
      <c r="O7" s="10" t="n">
        <f aca="false">IF(AND(O$4&gt;=$C7,O$4&lt;=$D7),$E7/Assumptions!$B$5,0)</f>
        <v>15277.7777777778</v>
      </c>
      <c r="P7" s="10" t="n">
        <f aca="false">IF(AND(P$4&gt;=$C7,P$4&lt;=$D7),$E7/Assumptions!$B$5,0)</f>
        <v>15277.7777777778</v>
      </c>
      <c r="Q7" s="10" t="n">
        <f aca="false">IF(AND(Q$4&gt;=$C7,Q$4&lt;=$D7),$E7/Assumptions!$B$5,0)</f>
        <v>15277.7777777778</v>
      </c>
      <c r="R7" s="10" t="n">
        <f aca="false">IF(AND(R$4&gt;=$C7,R$4&lt;=$D7),$E7/Assumptions!$B$5,0)</f>
        <v>15277.7777777778</v>
      </c>
      <c r="S7" s="10" t="n">
        <f aca="false">IF(AND(S$4&gt;=$C7,S$4&lt;=$D7),$E7/Assumptions!$B$5,0)</f>
        <v>15277.7777777778</v>
      </c>
      <c r="T7" s="10" t="n">
        <f aca="false">IF(AND(T$4&gt;=$C7,T$4&lt;=$D7),$E7/Assumptions!$B$5,0)</f>
        <v>15277.7777777778</v>
      </c>
      <c r="U7" s="10" t="n">
        <f aca="false">IF(AND(U$4&gt;=$C7,U$4&lt;=$D7),$E7/Assumptions!$B$5,0)</f>
        <v>15277.7777777778</v>
      </c>
      <c r="V7" s="10" t="n">
        <f aca="false">IF(AND(V$4&gt;=$C7,V$4&lt;=$D7),$E7/Assumptions!$B$5,0)</f>
        <v>15277.7777777778</v>
      </c>
      <c r="W7" s="10" t="n">
        <f aca="false">IF(AND(W$4&gt;=$C7,W$4&lt;=$D7),$E7/Assumptions!$B$5,0)</f>
        <v>15277.7777777778</v>
      </c>
      <c r="X7" s="10" t="n">
        <f aca="false">IF(AND(X$4&gt;=$C7,X$4&lt;=$D7),$E7/Assumptions!$B$5,0)</f>
        <v>15277.7777777778</v>
      </c>
      <c r="Y7" s="10" t="n">
        <f aca="false">IF(AND(Y$4&gt;=$C7,Y$4&lt;=$D7),$E7/Assumptions!$B$5,0)</f>
        <v>0</v>
      </c>
      <c r="Z7" s="10" t="n">
        <f aca="false">IF(AND(Z$4&gt;=$C7,Z$4&lt;=$D7),$E7/Assumptions!$B$5,0)</f>
        <v>0</v>
      </c>
      <c r="AA7" s="10" t="n">
        <f aca="false">IF(AND(AA$4&gt;=$C7,AA$4&lt;=$D7),$E7/Assumptions!$B$5,0)</f>
        <v>0</v>
      </c>
      <c r="AB7" s="10" t="n">
        <f aca="false">IF(AND(AB$4&gt;=$C7,AB$4&lt;=$D7),$E7/Assumptions!$B$5,0)</f>
        <v>0</v>
      </c>
      <c r="AC7" s="10" t="n">
        <f aca="false">IF(AND(AC$4&gt;=$C7,AC$4&lt;=$D7),$E7/Assumptions!$B$5,0)</f>
        <v>0</v>
      </c>
      <c r="AD7" s="10" t="n">
        <f aca="false">IF(AND(AD$4&gt;=$C7,AD$4&lt;=$D7),$E7/Assumptions!$B$5,0)</f>
        <v>0</v>
      </c>
      <c r="AE7" s="10" t="n">
        <f aca="false">IF(AND(AE$4&gt;=$C7,AE$4&lt;=$D7),$E7/Assumptions!$B$5,0)</f>
        <v>0</v>
      </c>
      <c r="AF7" s="10" t="n">
        <f aca="false">IF(AND(AF$4&gt;=$C7,AF$4&lt;=$D7),$E7/Assumptions!$B$5,0)</f>
        <v>0</v>
      </c>
      <c r="AG7" s="10" t="n">
        <f aca="false">IF(AND(AG$4&gt;=$C7,AG$4&lt;=$D7),$E7/Assumptions!$B$5,0)</f>
        <v>0</v>
      </c>
    </row>
    <row r="8" customFormat="false" ht="15" hidden="false" customHeight="false" outlineLevel="0" collapsed="false">
      <c r="A8" s="0" t="s">
        <v>57</v>
      </c>
      <c r="B8" s="15" t="n">
        <v>3</v>
      </c>
      <c r="C8" s="15" t="n">
        <f aca="false">B8+Assumptions!$B$6</f>
        <v>5</v>
      </c>
      <c r="D8" s="15" t="n">
        <f aca="false">C8+Assumptions!$B$5-1</f>
        <v>16</v>
      </c>
      <c r="E8" s="16" t="n">
        <f aca="false">'Capacity &amp; Bookings'!G34</f>
        <v>183333.333333333</v>
      </c>
      <c r="J8" s="10" t="n">
        <f aca="false">IF(AND(J$4&gt;=$C8,J$4&lt;=$D8),$E8/Assumptions!$B$5,0)</f>
        <v>0</v>
      </c>
      <c r="K8" s="10" t="n">
        <f aca="false">IF(AND(K$4&gt;=$C8,K$4&lt;=$D8),$E8/Assumptions!$B$5,0)</f>
        <v>0</v>
      </c>
      <c r="L8" s="10" t="n">
        <f aca="false">IF(AND(L$4&gt;=$C8,L$4&lt;=$D8),$E8/Assumptions!$B$5,0)</f>
        <v>0</v>
      </c>
      <c r="M8" s="10" t="n">
        <f aca="false">IF(AND(M$4&gt;=$C8,M$4&lt;=$D8),$E8/Assumptions!$B$5,0)</f>
        <v>0</v>
      </c>
      <c r="N8" s="10" t="n">
        <f aca="false">IF(AND(N$4&gt;=$C8,N$4&lt;=$D8),$E8/Assumptions!$B$5,0)</f>
        <v>15277.7777777778</v>
      </c>
      <c r="O8" s="10" t="n">
        <f aca="false">IF(AND(O$4&gt;=$C8,O$4&lt;=$D8),$E8/Assumptions!$B$5,0)</f>
        <v>15277.7777777778</v>
      </c>
      <c r="P8" s="10" t="n">
        <f aca="false">IF(AND(P$4&gt;=$C8,P$4&lt;=$D8),$E8/Assumptions!$B$5,0)</f>
        <v>15277.7777777778</v>
      </c>
      <c r="Q8" s="10" t="n">
        <f aca="false">IF(AND(Q$4&gt;=$C8,Q$4&lt;=$D8),$E8/Assumptions!$B$5,0)</f>
        <v>15277.7777777778</v>
      </c>
      <c r="R8" s="10" t="n">
        <f aca="false">IF(AND(R$4&gt;=$C8,R$4&lt;=$D8),$E8/Assumptions!$B$5,0)</f>
        <v>15277.7777777778</v>
      </c>
      <c r="S8" s="10" t="n">
        <f aca="false">IF(AND(S$4&gt;=$C8,S$4&lt;=$D8),$E8/Assumptions!$B$5,0)</f>
        <v>15277.7777777778</v>
      </c>
      <c r="T8" s="10" t="n">
        <f aca="false">IF(AND(T$4&gt;=$C8,T$4&lt;=$D8),$E8/Assumptions!$B$5,0)</f>
        <v>15277.7777777778</v>
      </c>
      <c r="U8" s="10" t="n">
        <f aca="false">IF(AND(U$4&gt;=$C8,U$4&lt;=$D8),$E8/Assumptions!$B$5,0)</f>
        <v>15277.7777777778</v>
      </c>
      <c r="V8" s="10" t="n">
        <f aca="false">IF(AND(V$4&gt;=$C8,V$4&lt;=$D8),$E8/Assumptions!$B$5,0)</f>
        <v>15277.7777777778</v>
      </c>
      <c r="W8" s="10" t="n">
        <f aca="false">IF(AND(W$4&gt;=$C8,W$4&lt;=$D8),$E8/Assumptions!$B$5,0)</f>
        <v>15277.7777777778</v>
      </c>
      <c r="X8" s="10" t="n">
        <f aca="false">IF(AND(X$4&gt;=$C8,X$4&lt;=$D8),$E8/Assumptions!$B$5,0)</f>
        <v>15277.7777777778</v>
      </c>
      <c r="Y8" s="10" t="n">
        <f aca="false">IF(AND(Y$4&gt;=$C8,Y$4&lt;=$D8),$E8/Assumptions!$B$5,0)</f>
        <v>15277.7777777778</v>
      </c>
      <c r="Z8" s="10" t="n">
        <f aca="false">IF(AND(Z$4&gt;=$C8,Z$4&lt;=$D8),$E8/Assumptions!$B$5,0)</f>
        <v>0</v>
      </c>
      <c r="AA8" s="10" t="n">
        <f aca="false">IF(AND(AA$4&gt;=$C8,AA$4&lt;=$D8),$E8/Assumptions!$B$5,0)</f>
        <v>0</v>
      </c>
      <c r="AB8" s="10" t="n">
        <f aca="false">IF(AND(AB$4&gt;=$C8,AB$4&lt;=$D8),$E8/Assumptions!$B$5,0)</f>
        <v>0</v>
      </c>
      <c r="AC8" s="10" t="n">
        <f aca="false">IF(AND(AC$4&gt;=$C8,AC$4&lt;=$D8),$E8/Assumptions!$B$5,0)</f>
        <v>0</v>
      </c>
      <c r="AD8" s="10" t="n">
        <f aca="false">IF(AND(AD$4&gt;=$C8,AD$4&lt;=$D8),$E8/Assumptions!$B$5,0)</f>
        <v>0</v>
      </c>
      <c r="AE8" s="10" t="n">
        <f aca="false">IF(AND(AE$4&gt;=$C8,AE$4&lt;=$D8),$E8/Assumptions!$B$5,0)</f>
        <v>0</v>
      </c>
      <c r="AF8" s="10" t="n">
        <f aca="false">IF(AND(AF$4&gt;=$C8,AF$4&lt;=$D8),$E8/Assumptions!$B$5,0)</f>
        <v>0</v>
      </c>
      <c r="AG8" s="10" t="n">
        <f aca="false">IF(AND(AG$4&gt;=$C8,AG$4&lt;=$D8),$E8/Assumptions!$B$5,0)</f>
        <v>0</v>
      </c>
    </row>
    <row r="9" customFormat="false" ht="15" hidden="false" customHeight="false" outlineLevel="0" collapsed="false">
      <c r="A9" s="0" t="s">
        <v>58</v>
      </c>
      <c r="B9" s="15" t="n">
        <v>4</v>
      </c>
      <c r="C9" s="15" t="n">
        <f aca="false">B9+Assumptions!$B$6</f>
        <v>6</v>
      </c>
      <c r="D9" s="15" t="n">
        <f aca="false">C9+Assumptions!$B$5-1</f>
        <v>17</v>
      </c>
      <c r="E9" s="16" t="n">
        <f aca="false">'Capacity &amp; Bookings'!H34</f>
        <v>213583.333333333</v>
      </c>
      <c r="J9" s="10" t="n">
        <f aca="false">IF(AND(J$4&gt;=$C9,J$4&lt;=$D9),$E9/Assumptions!$B$5,0)</f>
        <v>0</v>
      </c>
      <c r="K9" s="10" t="n">
        <f aca="false">IF(AND(K$4&gt;=$C9,K$4&lt;=$D9),$E9/Assumptions!$B$5,0)</f>
        <v>0</v>
      </c>
      <c r="L9" s="10" t="n">
        <f aca="false">IF(AND(L$4&gt;=$C9,L$4&lt;=$D9),$E9/Assumptions!$B$5,0)</f>
        <v>0</v>
      </c>
      <c r="M9" s="10" t="n">
        <f aca="false">IF(AND(M$4&gt;=$C9,M$4&lt;=$D9),$E9/Assumptions!$B$5,0)</f>
        <v>0</v>
      </c>
      <c r="N9" s="10" t="n">
        <f aca="false">IF(AND(N$4&gt;=$C9,N$4&lt;=$D9),$E9/Assumptions!$B$5,0)</f>
        <v>0</v>
      </c>
      <c r="O9" s="10" t="n">
        <f aca="false">IF(AND(O$4&gt;=$C9,O$4&lt;=$D9),$E9/Assumptions!$B$5,0)</f>
        <v>17798.6111111111</v>
      </c>
      <c r="P9" s="10" t="n">
        <f aca="false">IF(AND(P$4&gt;=$C9,P$4&lt;=$D9),$E9/Assumptions!$B$5,0)</f>
        <v>17798.6111111111</v>
      </c>
      <c r="Q9" s="10" t="n">
        <f aca="false">IF(AND(Q$4&gt;=$C9,Q$4&lt;=$D9),$E9/Assumptions!$B$5,0)</f>
        <v>17798.6111111111</v>
      </c>
      <c r="R9" s="10" t="n">
        <f aca="false">IF(AND(R$4&gt;=$C9,R$4&lt;=$D9),$E9/Assumptions!$B$5,0)</f>
        <v>17798.6111111111</v>
      </c>
      <c r="S9" s="10" t="n">
        <f aca="false">IF(AND(S$4&gt;=$C9,S$4&lt;=$D9),$E9/Assumptions!$B$5,0)</f>
        <v>17798.6111111111</v>
      </c>
      <c r="T9" s="10" t="n">
        <f aca="false">IF(AND(T$4&gt;=$C9,T$4&lt;=$D9),$E9/Assumptions!$B$5,0)</f>
        <v>17798.6111111111</v>
      </c>
      <c r="U9" s="10" t="n">
        <f aca="false">IF(AND(U$4&gt;=$C9,U$4&lt;=$D9),$E9/Assumptions!$B$5,0)</f>
        <v>17798.6111111111</v>
      </c>
      <c r="V9" s="10" t="n">
        <f aca="false">IF(AND(V$4&gt;=$C9,V$4&lt;=$D9),$E9/Assumptions!$B$5,0)</f>
        <v>17798.6111111111</v>
      </c>
      <c r="W9" s="10" t="n">
        <f aca="false">IF(AND(W$4&gt;=$C9,W$4&lt;=$D9),$E9/Assumptions!$B$5,0)</f>
        <v>17798.6111111111</v>
      </c>
      <c r="X9" s="10" t="n">
        <f aca="false">IF(AND(X$4&gt;=$C9,X$4&lt;=$D9),$E9/Assumptions!$B$5,0)</f>
        <v>17798.6111111111</v>
      </c>
      <c r="Y9" s="10" t="n">
        <f aca="false">IF(AND(Y$4&gt;=$C9,Y$4&lt;=$D9),$E9/Assumptions!$B$5,0)</f>
        <v>17798.6111111111</v>
      </c>
      <c r="Z9" s="10" t="n">
        <f aca="false">IF(AND(Z$4&gt;=$C9,Z$4&lt;=$D9),$E9/Assumptions!$B$5,0)</f>
        <v>17798.6111111111</v>
      </c>
      <c r="AA9" s="10" t="n">
        <f aca="false">IF(AND(AA$4&gt;=$C9,AA$4&lt;=$D9),$E9/Assumptions!$B$5,0)</f>
        <v>0</v>
      </c>
      <c r="AB9" s="10" t="n">
        <f aca="false">IF(AND(AB$4&gt;=$C9,AB$4&lt;=$D9),$E9/Assumptions!$B$5,0)</f>
        <v>0</v>
      </c>
      <c r="AC9" s="10" t="n">
        <f aca="false">IF(AND(AC$4&gt;=$C9,AC$4&lt;=$D9),$E9/Assumptions!$B$5,0)</f>
        <v>0</v>
      </c>
      <c r="AD9" s="10" t="n">
        <f aca="false">IF(AND(AD$4&gt;=$C9,AD$4&lt;=$D9),$E9/Assumptions!$B$5,0)</f>
        <v>0</v>
      </c>
      <c r="AE9" s="10" t="n">
        <f aca="false">IF(AND(AE$4&gt;=$C9,AE$4&lt;=$D9),$E9/Assumptions!$B$5,0)</f>
        <v>0</v>
      </c>
      <c r="AF9" s="10" t="n">
        <f aca="false">IF(AND(AF$4&gt;=$C9,AF$4&lt;=$D9),$E9/Assumptions!$B$5,0)</f>
        <v>0</v>
      </c>
      <c r="AG9" s="10" t="n">
        <f aca="false">IF(AND(AG$4&gt;=$C9,AG$4&lt;=$D9),$E9/Assumptions!$B$5,0)</f>
        <v>0</v>
      </c>
    </row>
    <row r="10" customFormat="false" ht="15" hidden="false" customHeight="false" outlineLevel="0" collapsed="false">
      <c r="A10" s="0" t="s">
        <v>59</v>
      </c>
      <c r="B10" s="15" t="n">
        <v>5</v>
      </c>
      <c r="C10" s="15" t="n">
        <f aca="false">B10+Assumptions!$B$6</f>
        <v>7</v>
      </c>
      <c r="D10" s="15" t="n">
        <f aca="false">C10+Assumptions!$B$5-1</f>
        <v>18</v>
      </c>
      <c r="E10" s="16" t="n">
        <f aca="false">'Capacity &amp; Bookings'!I34</f>
        <v>243833.333333333</v>
      </c>
      <c r="J10" s="10" t="n">
        <f aca="false">IF(AND(J$4&gt;=$C10,J$4&lt;=$D10),$E10/Assumptions!$B$5,0)</f>
        <v>0</v>
      </c>
      <c r="K10" s="10" t="n">
        <f aca="false">IF(AND(K$4&gt;=$C10,K$4&lt;=$D10),$E10/Assumptions!$B$5,0)</f>
        <v>0</v>
      </c>
      <c r="L10" s="10" t="n">
        <f aca="false">IF(AND(L$4&gt;=$C10,L$4&lt;=$D10),$E10/Assumptions!$B$5,0)</f>
        <v>0</v>
      </c>
      <c r="M10" s="10" t="n">
        <f aca="false">IF(AND(M$4&gt;=$C10,M$4&lt;=$D10),$E10/Assumptions!$B$5,0)</f>
        <v>0</v>
      </c>
      <c r="N10" s="10" t="n">
        <f aca="false">IF(AND(N$4&gt;=$C10,N$4&lt;=$D10),$E10/Assumptions!$B$5,0)</f>
        <v>0</v>
      </c>
      <c r="O10" s="10" t="n">
        <f aca="false">IF(AND(O$4&gt;=$C10,O$4&lt;=$D10),$E10/Assumptions!$B$5,0)</f>
        <v>0</v>
      </c>
      <c r="P10" s="10" t="n">
        <f aca="false">IF(AND(P$4&gt;=$C10,P$4&lt;=$D10),$E10/Assumptions!$B$5,0)</f>
        <v>20319.4444444444</v>
      </c>
      <c r="Q10" s="10" t="n">
        <f aca="false">IF(AND(Q$4&gt;=$C10,Q$4&lt;=$D10),$E10/Assumptions!$B$5,0)</f>
        <v>20319.4444444444</v>
      </c>
      <c r="R10" s="10" t="n">
        <f aca="false">IF(AND(R$4&gt;=$C10,R$4&lt;=$D10),$E10/Assumptions!$B$5,0)</f>
        <v>20319.4444444444</v>
      </c>
      <c r="S10" s="10" t="n">
        <f aca="false">IF(AND(S$4&gt;=$C10,S$4&lt;=$D10),$E10/Assumptions!$B$5,0)</f>
        <v>20319.4444444444</v>
      </c>
      <c r="T10" s="10" t="n">
        <f aca="false">IF(AND(T$4&gt;=$C10,T$4&lt;=$D10),$E10/Assumptions!$B$5,0)</f>
        <v>20319.4444444444</v>
      </c>
      <c r="U10" s="10" t="n">
        <f aca="false">IF(AND(U$4&gt;=$C10,U$4&lt;=$D10),$E10/Assumptions!$B$5,0)</f>
        <v>20319.4444444444</v>
      </c>
      <c r="V10" s="10" t="n">
        <f aca="false">IF(AND(V$4&gt;=$C10,V$4&lt;=$D10),$E10/Assumptions!$B$5,0)</f>
        <v>20319.4444444444</v>
      </c>
      <c r="W10" s="10" t="n">
        <f aca="false">IF(AND(W$4&gt;=$C10,W$4&lt;=$D10),$E10/Assumptions!$B$5,0)</f>
        <v>20319.4444444444</v>
      </c>
      <c r="X10" s="10" t="n">
        <f aca="false">IF(AND(X$4&gt;=$C10,X$4&lt;=$D10),$E10/Assumptions!$B$5,0)</f>
        <v>20319.4444444444</v>
      </c>
      <c r="Y10" s="10" t="n">
        <f aca="false">IF(AND(Y$4&gt;=$C10,Y$4&lt;=$D10),$E10/Assumptions!$B$5,0)</f>
        <v>20319.4444444444</v>
      </c>
      <c r="Z10" s="10" t="n">
        <f aca="false">IF(AND(Z$4&gt;=$C10,Z$4&lt;=$D10),$E10/Assumptions!$B$5,0)</f>
        <v>20319.4444444444</v>
      </c>
      <c r="AA10" s="10" t="n">
        <f aca="false">IF(AND(AA$4&gt;=$C10,AA$4&lt;=$D10),$E10/Assumptions!$B$5,0)</f>
        <v>20319.4444444444</v>
      </c>
      <c r="AB10" s="10" t="n">
        <f aca="false">IF(AND(AB$4&gt;=$C10,AB$4&lt;=$D10),$E10/Assumptions!$B$5,0)</f>
        <v>0</v>
      </c>
      <c r="AC10" s="10" t="n">
        <f aca="false">IF(AND(AC$4&gt;=$C10,AC$4&lt;=$D10),$E10/Assumptions!$B$5,0)</f>
        <v>0</v>
      </c>
      <c r="AD10" s="10" t="n">
        <f aca="false">IF(AND(AD$4&gt;=$C10,AD$4&lt;=$D10),$E10/Assumptions!$B$5,0)</f>
        <v>0</v>
      </c>
      <c r="AE10" s="10" t="n">
        <f aca="false">IF(AND(AE$4&gt;=$C10,AE$4&lt;=$D10),$E10/Assumptions!$B$5,0)</f>
        <v>0</v>
      </c>
      <c r="AF10" s="10" t="n">
        <f aca="false">IF(AND(AF$4&gt;=$C10,AF$4&lt;=$D10),$E10/Assumptions!$B$5,0)</f>
        <v>0</v>
      </c>
      <c r="AG10" s="10" t="n">
        <f aca="false">IF(AND(AG$4&gt;=$C10,AG$4&lt;=$D10),$E10/Assumptions!$B$5,0)</f>
        <v>0</v>
      </c>
    </row>
    <row r="11" customFormat="false" ht="15" hidden="false" customHeight="false" outlineLevel="0" collapsed="false">
      <c r="A11" s="0" t="s">
        <v>60</v>
      </c>
      <c r="B11" s="15" t="n">
        <v>6</v>
      </c>
      <c r="C11" s="15" t="n">
        <f aca="false">B11+Assumptions!$B$6</f>
        <v>8</v>
      </c>
      <c r="D11" s="15" t="n">
        <f aca="false">C11+Assumptions!$B$5-1</f>
        <v>19</v>
      </c>
      <c r="E11" s="16" t="n">
        <f aca="false">'Capacity &amp; Bookings'!J34</f>
        <v>249750</v>
      </c>
      <c r="J11" s="10" t="n">
        <f aca="false">IF(AND(J$4&gt;=$C11,J$4&lt;=$D11),$E11/Assumptions!$B$5,0)</f>
        <v>0</v>
      </c>
      <c r="K11" s="10" t="n">
        <f aca="false">IF(AND(K$4&gt;=$C11,K$4&lt;=$D11),$E11/Assumptions!$B$5,0)</f>
        <v>0</v>
      </c>
      <c r="L11" s="10" t="n">
        <f aca="false">IF(AND(L$4&gt;=$C11,L$4&lt;=$D11),$E11/Assumptions!$B$5,0)</f>
        <v>0</v>
      </c>
      <c r="M11" s="10" t="n">
        <f aca="false">IF(AND(M$4&gt;=$C11,M$4&lt;=$D11),$E11/Assumptions!$B$5,0)</f>
        <v>0</v>
      </c>
      <c r="N11" s="10" t="n">
        <f aca="false">IF(AND(N$4&gt;=$C11,N$4&lt;=$D11),$E11/Assumptions!$B$5,0)</f>
        <v>0</v>
      </c>
      <c r="O11" s="10" t="n">
        <f aca="false">IF(AND(O$4&gt;=$C11,O$4&lt;=$D11),$E11/Assumptions!$B$5,0)</f>
        <v>0</v>
      </c>
      <c r="P11" s="10" t="n">
        <f aca="false">IF(AND(P$4&gt;=$C11,P$4&lt;=$D11),$E11/Assumptions!$B$5,0)</f>
        <v>0</v>
      </c>
      <c r="Q11" s="10" t="n">
        <f aca="false">IF(AND(Q$4&gt;=$C11,Q$4&lt;=$D11),$E11/Assumptions!$B$5,0)</f>
        <v>20812.5</v>
      </c>
      <c r="R11" s="10" t="n">
        <f aca="false">IF(AND(R$4&gt;=$C11,R$4&lt;=$D11),$E11/Assumptions!$B$5,0)</f>
        <v>20812.5</v>
      </c>
      <c r="S11" s="10" t="n">
        <f aca="false">IF(AND(S$4&gt;=$C11,S$4&lt;=$D11),$E11/Assumptions!$B$5,0)</f>
        <v>20812.5</v>
      </c>
      <c r="T11" s="10" t="n">
        <f aca="false">IF(AND(T$4&gt;=$C11,T$4&lt;=$D11),$E11/Assumptions!$B$5,0)</f>
        <v>20812.5</v>
      </c>
      <c r="U11" s="10" t="n">
        <f aca="false">IF(AND(U$4&gt;=$C11,U$4&lt;=$D11),$E11/Assumptions!$B$5,0)</f>
        <v>20812.5</v>
      </c>
      <c r="V11" s="10" t="n">
        <f aca="false">IF(AND(V$4&gt;=$C11,V$4&lt;=$D11),$E11/Assumptions!$B$5,0)</f>
        <v>20812.5</v>
      </c>
      <c r="W11" s="10" t="n">
        <f aca="false">IF(AND(W$4&gt;=$C11,W$4&lt;=$D11),$E11/Assumptions!$B$5,0)</f>
        <v>20812.5</v>
      </c>
      <c r="X11" s="10" t="n">
        <f aca="false">IF(AND(X$4&gt;=$C11,X$4&lt;=$D11),$E11/Assumptions!$B$5,0)</f>
        <v>20812.5</v>
      </c>
      <c r="Y11" s="10" t="n">
        <f aca="false">IF(AND(Y$4&gt;=$C11,Y$4&lt;=$D11),$E11/Assumptions!$B$5,0)</f>
        <v>20812.5</v>
      </c>
      <c r="Z11" s="10" t="n">
        <f aca="false">IF(AND(Z$4&gt;=$C11,Z$4&lt;=$D11),$E11/Assumptions!$B$5,0)</f>
        <v>20812.5</v>
      </c>
      <c r="AA11" s="10" t="n">
        <f aca="false">IF(AND(AA$4&gt;=$C11,AA$4&lt;=$D11),$E11/Assumptions!$B$5,0)</f>
        <v>20812.5</v>
      </c>
      <c r="AB11" s="10" t="n">
        <f aca="false">IF(AND(AB$4&gt;=$C11,AB$4&lt;=$D11),$E11/Assumptions!$B$5,0)</f>
        <v>20812.5</v>
      </c>
      <c r="AC11" s="10" t="n">
        <f aca="false">IF(AND(AC$4&gt;=$C11,AC$4&lt;=$D11),$E11/Assumptions!$B$5,0)</f>
        <v>0</v>
      </c>
      <c r="AD11" s="10" t="n">
        <f aca="false">IF(AND(AD$4&gt;=$C11,AD$4&lt;=$D11),$E11/Assumptions!$B$5,0)</f>
        <v>0</v>
      </c>
      <c r="AE11" s="10" t="n">
        <f aca="false">IF(AND(AE$4&gt;=$C11,AE$4&lt;=$D11),$E11/Assumptions!$B$5,0)</f>
        <v>0</v>
      </c>
      <c r="AF11" s="10" t="n">
        <f aca="false">IF(AND(AF$4&gt;=$C11,AF$4&lt;=$D11),$E11/Assumptions!$B$5,0)</f>
        <v>0</v>
      </c>
      <c r="AG11" s="10" t="n">
        <f aca="false">IF(AND(AG$4&gt;=$C11,AG$4&lt;=$D11),$E11/Assumptions!$B$5,0)</f>
        <v>0</v>
      </c>
    </row>
    <row r="12" customFormat="false" ht="15" hidden="false" customHeight="false" outlineLevel="0" collapsed="false">
      <c r="A12" s="0" t="s">
        <v>61</v>
      </c>
      <c r="B12" s="15" t="n">
        <v>7</v>
      </c>
      <c r="C12" s="15" t="n">
        <f aca="false">B12+Assumptions!$B$6</f>
        <v>9</v>
      </c>
      <c r="D12" s="15" t="n">
        <f aca="false">C12+Assumptions!$B$5-1</f>
        <v>20</v>
      </c>
      <c r="E12" s="16" t="n">
        <f aca="false">'Capacity &amp; Bookings'!K34</f>
        <v>249750</v>
      </c>
      <c r="J12" s="10" t="n">
        <f aca="false">IF(AND(J$4&gt;=$C12,J$4&lt;=$D12),$E12/Assumptions!$B$5,0)</f>
        <v>0</v>
      </c>
      <c r="K12" s="10" t="n">
        <f aca="false">IF(AND(K$4&gt;=$C12,K$4&lt;=$D12),$E12/Assumptions!$B$5,0)</f>
        <v>0</v>
      </c>
      <c r="L12" s="10" t="n">
        <f aca="false">IF(AND(L$4&gt;=$C12,L$4&lt;=$D12),$E12/Assumptions!$B$5,0)</f>
        <v>0</v>
      </c>
      <c r="M12" s="10" t="n">
        <f aca="false">IF(AND(M$4&gt;=$C12,M$4&lt;=$D12),$E12/Assumptions!$B$5,0)</f>
        <v>0</v>
      </c>
      <c r="N12" s="10" t="n">
        <f aca="false">IF(AND(N$4&gt;=$C12,N$4&lt;=$D12),$E12/Assumptions!$B$5,0)</f>
        <v>0</v>
      </c>
      <c r="O12" s="10" t="n">
        <f aca="false">IF(AND(O$4&gt;=$C12,O$4&lt;=$D12),$E12/Assumptions!$B$5,0)</f>
        <v>0</v>
      </c>
      <c r="P12" s="10" t="n">
        <f aca="false">IF(AND(P$4&gt;=$C12,P$4&lt;=$D12),$E12/Assumptions!$B$5,0)</f>
        <v>0</v>
      </c>
      <c r="Q12" s="10" t="n">
        <f aca="false">IF(AND(Q$4&gt;=$C12,Q$4&lt;=$D12),$E12/Assumptions!$B$5,0)</f>
        <v>0</v>
      </c>
      <c r="R12" s="10" t="n">
        <f aca="false">IF(AND(R$4&gt;=$C12,R$4&lt;=$D12),$E12/Assumptions!$B$5,0)</f>
        <v>20812.5</v>
      </c>
      <c r="S12" s="10" t="n">
        <f aca="false">IF(AND(S$4&gt;=$C12,S$4&lt;=$D12),$E12/Assumptions!$B$5,0)</f>
        <v>20812.5</v>
      </c>
      <c r="T12" s="10" t="n">
        <f aca="false">IF(AND(T$4&gt;=$C12,T$4&lt;=$D12),$E12/Assumptions!$B$5,0)</f>
        <v>20812.5</v>
      </c>
      <c r="U12" s="10" t="n">
        <f aca="false">IF(AND(U$4&gt;=$C12,U$4&lt;=$D12),$E12/Assumptions!$B$5,0)</f>
        <v>20812.5</v>
      </c>
      <c r="V12" s="10" t="n">
        <f aca="false">IF(AND(V$4&gt;=$C12,V$4&lt;=$D12),$E12/Assumptions!$B$5,0)</f>
        <v>20812.5</v>
      </c>
      <c r="W12" s="10" t="n">
        <f aca="false">IF(AND(W$4&gt;=$C12,W$4&lt;=$D12),$E12/Assumptions!$B$5,0)</f>
        <v>20812.5</v>
      </c>
      <c r="X12" s="10" t="n">
        <f aca="false">IF(AND(X$4&gt;=$C12,X$4&lt;=$D12),$E12/Assumptions!$B$5,0)</f>
        <v>20812.5</v>
      </c>
      <c r="Y12" s="10" t="n">
        <f aca="false">IF(AND(Y$4&gt;=$C12,Y$4&lt;=$D12),$E12/Assumptions!$B$5,0)</f>
        <v>20812.5</v>
      </c>
      <c r="Z12" s="10" t="n">
        <f aca="false">IF(AND(Z$4&gt;=$C12,Z$4&lt;=$D12),$E12/Assumptions!$B$5,0)</f>
        <v>20812.5</v>
      </c>
      <c r="AA12" s="10" t="n">
        <f aca="false">IF(AND(AA$4&gt;=$C12,AA$4&lt;=$D12),$E12/Assumptions!$B$5,0)</f>
        <v>20812.5</v>
      </c>
      <c r="AB12" s="10" t="n">
        <f aca="false">IF(AND(AB$4&gt;=$C12,AB$4&lt;=$D12),$E12/Assumptions!$B$5,0)</f>
        <v>20812.5</v>
      </c>
      <c r="AC12" s="10" t="n">
        <f aca="false">IF(AND(AC$4&gt;=$C12,AC$4&lt;=$D12),$E12/Assumptions!$B$5,0)</f>
        <v>20812.5</v>
      </c>
      <c r="AD12" s="10" t="n">
        <f aca="false">IF(AND(AD$4&gt;=$C12,AD$4&lt;=$D12),$E12/Assumptions!$B$5,0)</f>
        <v>0</v>
      </c>
      <c r="AE12" s="10" t="n">
        <f aca="false">IF(AND(AE$4&gt;=$C12,AE$4&lt;=$D12),$E12/Assumptions!$B$5,0)</f>
        <v>0</v>
      </c>
      <c r="AF12" s="10" t="n">
        <f aca="false">IF(AND(AF$4&gt;=$C12,AF$4&lt;=$D12),$E12/Assumptions!$B$5,0)</f>
        <v>0</v>
      </c>
      <c r="AG12" s="10" t="n">
        <f aca="false">IF(AND(AG$4&gt;=$C12,AG$4&lt;=$D12),$E12/Assumptions!$B$5,0)</f>
        <v>0</v>
      </c>
    </row>
    <row r="13" customFormat="false" ht="15" hidden="false" customHeight="false" outlineLevel="0" collapsed="false">
      <c r="A13" s="0" t="s">
        <v>62</v>
      </c>
      <c r="B13" s="15" t="n">
        <v>8</v>
      </c>
      <c r="C13" s="15" t="n">
        <f aca="false">B13+Assumptions!$B$6</f>
        <v>10</v>
      </c>
      <c r="D13" s="15" t="n">
        <f aca="false">C13+Assumptions!$B$5-1</f>
        <v>21</v>
      </c>
      <c r="E13" s="16" t="n">
        <f aca="false">'Capacity &amp; Bookings'!L34</f>
        <v>249750</v>
      </c>
      <c r="J13" s="10" t="n">
        <f aca="false">IF(AND(J$4&gt;=$C13,J$4&lt;=$D13),$E13/Assumptions!$B$5,0)</f>
        <v>0</v>
      </c>
      <c r="K13" s="10" t="n">
        <f aca="false">IF(AND(K$4&gt;=$C13,K$4&lt;=$D13),$E13/Assumptions!$B$5,0)</f>
        <v>0</v>
      </c>
      <c r="L13" s="10" t="n">
        <f aca="false">IF(AND(L$4&gt;=$C13,L$4&lt;=$D13),$E13/Assumptions!$B$5,0)</f>
        <v>0</v>
      </c>
      <c r="M13" s="10" t="n">
        <f aca="false">IF(AND(M$4&gt;=$C13,M$4&lt;=$D13),$E13/Assumptions!$B$5,0)</f>
        <v>0</v>
      </c>
      <c r="N13" s="10" t="n">
        <f aca="false">IF(AND(N$4&gt;=$C13,N$4&lt;=$D13),$E13/Assumptions!$B$5,0)</f>
        <v>0</v>
      </c>
      <c r="O13" s="10" t="n">
        <f aca="false">IF(AND(O$4&gt;=$C13,O$4&lt;=$D13),$E13/Assumptions!$B$5,0)</f>
        <v>0</v>
      </c>
      <c r="P13" s="10" t="n">
        <f aca="false">IF(AND(P$4&gt;=$C13,P$4&lt;=$D13),$E13/Assumptions!$B$5,0)</f>
        <v>0</v>
      </c>
      <c r="Q13" s="10" t="n">
        <f aca="false">IF(AND(Q$4&gt;=$C13,Q$4&lt;=$D13),$E13/Assumptions!$B$5,0)</f>
        <v>0</v>
      </c>
      <c r="R13" s="10" t="n">
        <f aca="false">IF(AND(R$4&gt;=$C13,R$4&lt;=$D13),$E13/Assumptions!$B$5,0)</f>
        <v>0</v>
      </c>
      <c r="S13" s="10" t="n">
        <f aca="false">IF(AND(S$4&gt;=$C13,S$4&lt;=$D13),$E13/Assumptions!$B$5,0)</f>
        <v>20812.5</v>
      </c>
      <c r="T13" s="10" t="n">
        <f aca="false">IF(AND(T$4&gt;=$C13,T$4&lt;=$D13),$E13/Assumptions!$B$5,0)</f>
        <v>20812.5</v>
      </c>
      <c r="U13" s="10" t="n">
        <f aca="false">IF(AND(U$4&gt;=$C13,U$4&lt;=$D13),$E13/Assumptions!$B$5,0)</f>
        <v>20812.5</v>
      </c>
      <c r="V13" s="10" t="n">
        <f aca="false">IF(AND(V$4&gt;=$C13,V$4&lt;=$D13),$E13/Assumptions!$B$5,0)</f>
        <v>20812.5</v>
      </c>
      <c r="W13" s="10" t="n">
        <f aca="false">IF(AND(W$4&gt;=$C13,W$4&lt;=$D13),$E13/Assumptions!$B$5,0)</f>
        <v>20812.5</v>
      </c>
      <c r="X13" s="10" t="n">
        <f aca="false">IF(AND(X$4&gt;=$C13,X$4&lt;=$D13),$E13/Assumptions!$B$5,0)</f>
        <v>20812.5</v>
      </c>
      <c r="Y13" s="10" t="n">
        <f aca="false">IF(AND(Y$4&gt;=$C13,Y$4&lt;=$D13),$E13/Assumptions!$B$5,0)</f>
        <v>20812.5</v>
      </c>
      <c r="Z13" s="10" t="n">
        <f aca="false">IF(AND(Z$4&gt;=$C13,Z$4&lt;=$D13),$E13/Assumptions!$B$5,0)</f>
        <v>20812.5</v>
      </c>
      <c r="AA13" s="10" t="n">
        <f aca="false">IF(AND(AA$4&gt;=$C13,AA$4&lt;=$D13),$E13/Assumptions!$B$5,0)</f>
        <v>20812.5</v>
      </c>
      <c r="AB13" s="10" t="n">
        <f aca="false">IF(AND(AB$4&gt;=$C13,AB$4&lt;=$D13),$E13/Assumptions!$B$5,0)</f>
        <v>20812.5</v>
      </c>
      <c r="AC13" s="10" t="n">
        <f aca="false">IF(AND(AC$4&gt;=$C13,AC$4&lt;=$D13),$E13/Assumptions!$B$5,0)</f>
        <v>20812.5</v>
      </c>
      <c r="AD13" s="10" t="n">
        <f aca="false">IF(AND(AD$4&gt;=$C13,AD$4&lt;=$D13),$E13/Assumptions!$B$5,0)</f>
        <v>20812.5</v>
      </c>
      <c r="AE13" s="10" t="n">
        <f aca="false">IF(AND(AE$4&gt;=$C13,AE$4&lt;=$D13),$E13/Assumptions!$B$5,0)</f>
        <v>0</v>
      </c>
      <c r="AF13" s="10" t="n">
        <f aca="false">IF(AND(AF$4&gt;=$C13,AF$4&lt;=$D13),$E13/Assumptions!$B$5,0)</f>
        <v>0</v>
      </c>
      <c r="AG13" s="10" t="n">
        <f aca="false">IF(AND(AG$4&gt;=$C13,AG$4&lt;=$D13),$E13/Assumptions!$B$5,0)</f>
        <v>0</v>
      </c>
    </row>
    <row r="14" customFormat="false" ht="15" hidden="false" customHeight="false" outlineLevel="0" collapsed="false">
      <c r="A14" s="0" t="s">
        <v>63</v>
      </c>
      <c r="B14" s="15" t="n">
        <v>9</v>
      </c>
      <c r="C14" s="15" t="n">
        <f aca="false">B14+Assumptions!$B$6</f>
        <v>11</v>
      </c>
      <c r="D14" s="15" t="n">
        <f aca="false">C14+Assumptions!$B$5-1</f>
        <v>22</v>
      </c>
      <c r="E14" s="16" t="n">
        <f aca="false">'Capacity &amp; Bookings'!M34</f>
        <v>249750</v>
      </c>
      <c r="J14" s="10" t="n">
        <f aca="false">IF(AND(J$4&gt;=$C14,J$4&lt;=$D14),$E14/Assumptions!$B$5,0)</f>
        <v>0</v>
      </c>
      <c r="K14" s="10" t="n">
        <f aca="false">IF(AND(K$4&gt;=$C14,K$4&lt;=$D14),$E14/Assumptions!$B$5,0)</f>
        <v>0</v>
      </c>
      <c r="L14" s="10" t="n">
        <f aca="false">IF(AND(L$4&gt;=$C14,L$4&lt;=$D14),$E14/Assumptions!$B$5,0)</f>
        <v>0</v>
      </c>
      <c r="M14" s="10" t="n">
        <f aca="false">IF(AND(M$4&gt;=$C14,M$4&lt;=$D14),$E14/Assumptions!$B$5,0)</f>
        <v>0</v>
      </c>
      <c r="N14" s="10" t="n">
        <f aca="false">IF(AND(N$4&gt;=$C14,N$4&lt;=$D14),$E14/Assumptions!$B$5,0)</f>
        <v>0</v>
      </c>
      <c r="O14" s="10" t="n">
        <f aca="false">IF(AND(O$4&gt;=$C14,O$4&lt;=$D14),$E14/Assumptions!$B$5,0)</f>
        <v>0</v>
      </c>
      <c r="P14" s="10" t="n">
        <f aca="false">IF(AND(P$4&gt;=$C14,P$4&lt;=$D14),$E14/Assumptions!$B$5,0)</f>
        <v>0</v>
      </c>
      <c r="Q14" s="10" t="n">
        <f aca="false">IF(AND(Q$4&gt;=$C14,Q$4&lt;=$D14),$E14/Assumptions!$B$5,0)</f>
        <v>0</v>
      </c>
      <c r="R14" s="10" t="n">
        <f aca="false">IF(AND(R$4&gt;=$C14,R$4&lt;=$D14),$E14/Assumptions!$B$5,0)</f>
        <v>0</v>
      </c>
      <c r="S14" s="10" t="n">
        <f aca="false">IF(AND(S$4&gt;=$C14,S$4&lt;=$D14),$E14/Assumptions!$B$5,0)</f>
        <v>0</v>
      </c>
      <c r="T14" s="10" t="n">
        <f aca="false">IF(AND(T$4&gt;=$C14,T$4&lt;=$D14),$E14/Assumptions!$B$5,0)</f>
        <v>20812.5</v>
      </c>
      <c r="U14" s="10" t="n">
        <f aca="false">IF(AND(U$4&gt;=$C14,U$4&lt;=$D14),$E14/Assumptions!$B$5,0)</f>
        <v>20812.5</v>
      </c>
      <c r="V14" s="10" t="n">
        <f aca="false">IF(AND(V$4&gt;=$C14,V$4&lt;=$D14),$E14/Assumptions!$B$5,0)</f>
        <v>20812.5</v>
      </c>
      <c r="W14" s="10" t="n">
        <f aca="false">IF(AND(W$4&gt;=$C14,W$4&lt;=$D14),$E14/Assumptions!$B$5,0)</f>
        <v>20812.5</v>
      </c>
      <c r="X14" s="10" t="n">
        <f aca="false">IF(AND(X$4&gt;=$C14,X$4&lt;=$D14),$E14/Assumptions!$B$5,0)</f>
        <v>20812.5</v>
      </c>
      <c r="Y14" s="10" t="n">
        <f aca="false">IF(AND(Y$4&gt;=$C14,Y$4&lt;=$D14),$E14/Assumptions!$B$5,0)</f>
        <v>20812.5</v>
      </c>
      <c r="Z14" s="10" t="n">
        <f aca="false">IF(AND(Z$4&gt;=$C14,Z$4&lt;=$D14),$E14/Assumptions!$B$5,0)</f>
        <v>20812.5</v>
      </c>
      <c r="AA14" s="10" t="n">
        <f aca="false">IF(AND(AA$4&gt;=$C14,AA$4&lt;=$D14),$E14/Assumptions!$B$5,0)</f>
        <v>20812.5</v>
      </c>
      <c r="AB14" s="10" t="n">
        <f aca="false">IF(AND(AB$4&gt;=$C14,AB$4&lt;=$D14),$E14/Assumptions!$B$5,0)</f>
        <v>20812.5</v>
      </c>
      <c r="AC14" s="10" t="n">
        <f aca="false">IF(AND(AC$4&gt;=$C14,AC$4&lt;=$D14),$E14/Assumptions!$B$5,0)</f>
        <v>20812.5</v>
      </c>
      <c r="AD14" s="10" t="n">
        <f aca="false">IF(AND(AD$4&gt;=$C14,AD$4&lt;=$D14),$E14/Assumptions!$B$5,0)</f>
        <v>20812.5</v>
      </c>
      <c r="AE14" s="10" t="n">
        <f aca="false">IF(AND(AE$4&gt;=$C14,AE$4&lt;=$D14),$E14/Assumptions!$B$5,0)</f>
        <v>20812.5</v>
      </c>
      <c r="AF14" s="10" t="n">
        <f aca="false">IF(AND(AF$4&gt;=$C14,AF$4&lt;=$D14),$E14/Assumptions!$B$5,0)</f>
        <v>0</v>
      </c>
      <c r="AG14" s="10" t="n">
        <f aca="false">IF(AND(AG$4&gt;=$C14,AG$4&lt;=$D14),$E14/Assumptions!$B$5,0)</f>
        <v>0</v>
      </c>
    </row>
    <row r="15" customFormat="false" ht="15" hidden="false" customHeight="false" outlineLevel="0" collapsed="false">
      <c r="A15" s="0" t="s">
        <v>64</v>
      </c>
      <c r="B15" s="15" t="n">
        <v>10</v>
      </c>
      <c r="C15" s="15" t="n">
        <f aca="false">B15+Assumptions!$B$6</f>
        <v>12</v>
      </c>
      <c r="D15" s="15" t="n">
        <f aca="false">C15+Assumptions!$B$5-1</f>
        <v>23</v>
      </c>
      <c r="E15" s="16" t="n">
        <f aca="false">'Capacity &amp; Bookings'!N34</f>
        <v>249750</v>
      </c>
      <c r="J15" s="10" t="n">
        <f aca="false">IF(AND(J$4&gt;=$C15,J$4&lt;=$D15),$E15/Assumptions!$B$5,0)</f>
        <v>0</v>
      </c>
      <c r="K15" s="10" t="n">
        <f aca="false">IF(AND(K$4&gt;=$C15,K$4&lt;=$D15),$E15/Assumptions!$B$5,0)</f>
        <v>0</v>
      </c>
      <c r="L15" s="10" t="n">
        <f aca="false">IF(AND(L$4&gt;=$C15,L$4&lt;=$D15),$E15/Assumptions!$B$5,0)</f>
        <v>0</v>
      </c>
      <c r="M15" s="10" t="n">
        <f aca="false">IF(AND(M$4&gt;=$C15,M$4&lt;=$D15),$E15/Assumptions!$B$5,0)</f>
        <v>0</v>
      </c>
      <c r="N15" s="10" t="n">
        <f aca="false">IF(AND(N$4&gt;=$C15,N$4&lt;=$D15),$E15/Assumptions!$B$5,0)</f>
        <v>0</v>
      </c>
      <c r="O15" s="10" t="n">
        <f aca="false">IF(AND(O$4&gt;=$C15,O$4&lt;=$D15),$E15/Assumptions!$B$5,0)</f>
        <v>0</v>
      </c>
      <c r="P15" s="10" t="n">
        <f aca="false">IF(AND(P$4&gt;=$C15,P$4&lt;=$D15),$E15/Assumptions!$B$5,0)</f>
        <v>0</v>
      </c>
      <c r="Q15" s="10" t="n">
        <f aca="false">IF(AND(Q$4&gt;=$C15,Q$4&lt;=$D15),$E15/Assumptions!$B$5,0)</f>
        <v>0</v>
      </c>
      <c r="R15" s="10" t="n">
        <f aca="false">IF(AND(R$4&gt;=$C15,R$4&lt;=$D15),$E15/Assumptions!$B$5,0)</f>
        <v>0</v>
      </c>
      <c r="S15" s="10" t="n">
        <f aca="false">IF(AND(S$4&gt;=$C15,S$4&lt;=$D15),$E15/Assumptions!$B$5,0)</f>
        <v>0</v>
      </c>
      <c r="T15" s="10" t="n">
        <f aca="false">IF(AND(T$4&gt;=$C15,T$4&lt;=$D15),$E15/Assumptions!$B$5,0)</f>
        <v>0</v>
      </c>
      <c r="U15" s="10" t="n">
        <f aca="false">IF(AND(U$4&gt;=$C15,U$4&lt;=$D15),$E15/Assumptions!$B$5,0)</f>
        <v>20812.5</v>
      </c>
      <c r="V15" s="10" t="n">
        <f aca="false">IF(AND(V$4&gt;=$C15,V$4&lt;=$D15),$E15/Assumptions!$B$5,0)</f>
        <v>20812.5</v>
      </c>
      <c r="W15" s="10" t="n">
        <f aca="false">IF(AND(W$4&gt;=$C15,W$4&lt;=$D15),$E15/Assumptions!$B$5,0)</f>
        <v>20812.5</v>
      </c>
      <c r="X15" s="10" t="n">
        <f aca="false">IF(AND(X$4&gt;=$C15,X$4&lt;=$D15),$E15/Assumptions!$B$5,0)</f>
        <v>20812.5</v>
      </c>
      <c r="Y15" s="10" t="n">
        <f aca="false">IF(AND(Y$4&gt;=$C15,Y$4&lt;=$D15),$E15/Assumptions!$B$5,0)</f>
        <v>20812.5</v>
      </c>
      <c r="Z15" s="10" t="n">
        <f aca="false">IF(AND(Z$4&gt;=$C15,Z$4&lt;=$D15),$E15/Assumptions!$B$5,0)</f>
        <v>20812.5</v>
      </c>
      <c r="AA15" s="10" t="n">
        <f aca="false">IF(AND(AA$4&gt;=$C15,AA$4&lt;=$D15),$E15/Assumptions!$B$5,0)</f>
        <v>20812.5</v>
      </c>
      <c r="AB15" s="10" t="n">
        <f aca="false">IF(AND(AB$4&gt;=$C15,AB$4&lt;=$D15),$E15/Assumptions!$B$5,0)</f>
        <v>20812.5</v>
      </c>
      <c r="AC15" s="10" t="n">
        <f aca="false">IF(AND(AC$4&gt;=$C15,AC$4&lt;=$D15),$E15/Assumptions!$B$5,0)</f>
        <v>20812.5</v>
      </c>
      <c r="AD15" s="10" t="n">
        <f aca="false">IF(AND(AD$4&gt;=$C15,AD$4&lt;=$D15),$E15/Assumptions!$B$5,0)</f>
        <v>20812.5</v>
      </c>
      <c r="AE15" s="10" t="n">
        <f aca="false">IF(AND(AE$4&gt;=$C15,AE$4&lt;=$D15),$E15/Assumptions!$B$5,0)</f>
        <v>20812.5</v>
      </c>
      <c r="AF15" s="10" t="n">
        <f aca="false">IF(AND(AF$4&gt;=$C15,AF$4&lt;=$D15),$E15/Assumptions!$B$5,0)</f>
        <v>20812.5</v>
      </c>
      <c r="AG15" s="10" t="n">
        <f aca="false">IF(AND(AG$4&gt;=$C15,AG$4&lt;=$D15),$E15/Assumptions!$B$5,0)</f>
        <v>0</v>
      </c>
    </row>
    <row r="16" customFormat="false" ht="15" hidden="false" customHeight="false" outlineLevel="0" collapsed="false">
      <c r="A16" s="0" t="s">
        <v>65</v>
      </c>
      <c r="B16" s="15" t="n">
        <v>11</v>
      </c>
      <c r="C16" s="15" t="n">
        <f aca="false">B16+Assumptions!$B$6</f>
        <v>13</v>
      </c>
      <c r="D16" s="15" t="n">
        <f aca="false">C16+Assumptions!$B$5-1</f>
        <v>24</v>
      </c>
      <c r="E16" s="16" t="n">
        <f aca="false">'Capacity &amp; Bookings'!O34</f>
        <v>249750</v>
      </c>
      <c r="J16" s="10" t="n">
        <f aca="false">IF(AND(J$4&gt;=$C16,J$4&lt;=$D16),$E16/Assumptions!$B$5,0)</f>
        <v>0</v>
      </c>
      <c r="K16" s="10" t="n">
        <f aca="false">IF(AND(K$4&gt;=$C16,K$4&lt;=$D16),$E16/Assumptions!$B$5,0)</f>
        <v>0</v>
      </c>
      <c r="L16" s="10" t="n">
        <f aca="false">IF(AND(L$4&gt;=$C16,L$4&lt;=$D16),$E16/Assumptions!$B$5,0)</f>
        <v>0</v>
      </c>
      <c r="M16" s="10" t="n">
        <f aca="false">IF(AND(M$4&gt;=$C16,M$4&lt;=$D16),$E16/Assumptions!$B$5,0)</f>
        <v>0</v>
      </c>
      <c r="N16" s="10" t="n">
        <f aca="false">IF(AND(N$4&gt;=$C16,N$4&lt;=$D16),$E16/Assumptions!$B$5,0)</f>
        <v>0</v>
      </c>
      <c r="O16" s="10" t="n">
        <f aca="false">IF(AND(O$4&gt;=$C16,O$4&lt;=$D16),$E16/Assumptions!$B$5,0)</f>
        <v>0</v>
      </c>
      <c r="P16" s="10" t="n">
        <f aca="false">IF(AND(P$4&gt;=$C16,P$4&lt;=$D16),$E16/Assumptions!$B$5,0)</f>
        <v>0</v>
      </c>
      <c r="Q16" s="10" t="n">
        <f aca="false">IF(AND(Q$4&gt;=$C16,Q$4&lt;=$D16),$E16/Assumptions!$B$5,0)</f>
        <v>0</v>
      </c>
      <c r="R16" s="10" t="n">
        <f aca="false">IF(AND(R$4&gt;=$C16,R$4&lt;=$D16),$E16/Assumptions!$B$5,0)</f>
        <v>0</v>
      </c>
      <c r="S16" s="10" t="n">
        <f aca="false">IF(AND(S$4&gt;=$C16,S$4&lt;=$D16),$E16/Assumptions!$B$5,0)</f>
        <v>0</v>
      </c>
      <c r="T16" s="10" t="n">
        <f aca="false">IF(AND(T$4&gt;=$C16,T$4&lt;=$D16),$E16/Assumptions!$B$5,0)</f>
        <v>0</v>
      </c>
      <c r="U16" s="10" t="n">
        <f aca="false">IF(AND(U$4&gt;=$C16,U$4&lt;=$D16),$E16/Assumptions!$B$5,0)</f>
        <v>0</v>
      </c>
      <c r="V16" s="10" t="n">
        <f aca="false">IF(AND(V$4&gt;=$C16,V$4&lt;=$D16),$E16/Assumptions!$B$5,0)</f>
        <v>20812.5</v>
      </c>
      <c r="W16" s="10" t="n">
        <f aca="false">IF(AND(W$4&gt;=$C16,W$4&lt;=$D16),$E16/Assumptions!$B$5,0)</f>
        <v>20812.5</v>
      </c>
      <c r="X16" s="10" t="n">
        <f aca="false">IF(AND(X$4&gt;=$C16,X$4&lt;=$D16),$E16/Assumptions!$B$5,0)</f>
        <v>20812.5</v>
      </c>
      <c r="Y16" s="10" t="n">
        <f aca="false">IF(AND(Y$4&gt;=$C16,Y$4&lt;=$D16),$E16/Assumptions!$B$5,0)</f>
        <v>20812.5</v>
      </c>
      <c r="Z16" s="10" t="n">
        <f aca="false">IF(AND(Z$4&gt;=$C16,Z$4&lt;=$D16),$E16/Assumptions!$B$5,0)</f>
        <v>20812.5</v>
      </c>
      <c r="AA16" s="10" t="n">
        <f aca="false">IF(AND(AA$4&gt;=$C16,AA$4&lt;=$D16),$E16/Assumptions!$B$5,0)</f>
        <v>20812.5</v>
      </c>
      <c r="AB16" s="10" t="n">
        <f aca="false">IF(AND(AB$4&gt;=$C16,AB$4&lt;=$D16),$E16/Assumptions!$B$5,0)</f>
        <v>20812.5</v>
      </c>
      <c r="AC16" s="10" t="n">
        <f aca="false">IF(AND(AC$4&gt;=$C16,AC$4&lt;=$D16),$E16/Assumptions!$B$5,0)</f>
        <v>20812.5</v>
      </c>
      <c r="AD16" s="10" t="n">
        <f aca="false">IF(AND(AD$4&gt;=$C16,AD$4&lt;=$D16),$E16/Assumptions!$B$5,0)</f>
        <v>20812.5</v>
      </c>
      <c r="AE16" s="10" t="n">
        <f aca="false">IF(AND(AE$4&gt;=$C16,AE$4&lt;=$D16),$E16/Assumptions!$B$5,0)</f>
        <v>20812.5</v>
      </c>
      <c r="AF16" s="10" t="n">
        <f aca="false">IF(AND(AF$4&gt;=$C16,AF$4&lt;=$D16),$E16/Assumptions!$B$5,0)</f>
        <v>20812.5</v>
      </c>
      <c r="AG16" s="10" t="n">
        <f aca="false">IF(AND(AG$4&gt;=$C16,AG$4&lt;=$D16),$E16/Assumptions!$B$5,0)</f>
        <v>20812.5</v>
      </c>
    </row>
    <row r="17" customFormat="false" ht="15" hidden="false" customHeight="false" outlineLevel="0" collapsed="false">
      <c r="A17" s="0" t="s">
        <v>66</v>
      </c>
      <c r="B17" s="15" t="n">
        <v>12</v>
      </c>
      <c r="C17" s="15" t="n">
        <f aca="false">B17+Assumptions!$B$6</f>
        <v>14</v>
      </c>
      <c r="D17" s="15" t="n">
        <f aca="false">C17+Assumptions!$B$5-1</f>
        <v>25</v>
      </c>
      <c r="E17" s="16" t="n">
        <f aca="false">'Capacity &amp; Bookings'!P34</f>
        <v>249750</v>
      </c>
      <c r="J17" s="10" t="n">
        <f aca="false">IF(AND(J$4&gt;=$C17,J$4&lt;=$D17),$E17/Assumptions!$B$5,0)</f>
        <v>0</v>
      </c>
      <c r="K17" s="10" t="n">
        <f aca="false">IF(AND(K$4&gt;=$C17,K$4&lt;=$D17),$E17/Assumptions!$B$5,0)</f>
        <v>0</v>
      </c>
      <c r="L17" s="10" t="n">
        <f aca="false">IF(AND(L$4&gt;=$C17,L$4&lt;=$D17),$E17/Assumptions!$B$5,0)</f>
        <v>0</v>
      </c>
      <c r="M17" s="10" t="n">
        <f aca="false">IF(AND(M$4&gt;=$C17,M$4&lt;=$D17),$E17/Assumptions!$B$5,0)</f>
        <v>0</v>
      </c>
      <c r="N17" s="10" t="n">
        <f aca="false">IF(AND(N$4&gt;=$C17,N$4&lt;=$D17),$E17/Assumptions!$B$5,0)</f>
        <v>0</v>
      </c>
      <c r="O17" s="10" t="n">
        <f aca="false">IF(AND(O$4&gt;=$C17,O$4&lt;=$D17),$E17/Assumptions!$B$5,0)</f>
        <v>0</v>
      </c>
      <c r="P17" s="10" t="n">
        <f aca="false">IF(AND(P$4&gt;=$C17,P$4&lt;=$D17),$E17/Assumptions!$B$5,0)</f>
        <v>0</v>
      </c>
      <c r="Q17" s="10" t="n">
        <f aca="false">IF(AND(Q$4&gt;=$C17,Q$4&lt;=$D17),$E17/Assumptions!$B$5,0)</f>
        <v>0</v>
      </c>
      <c r="R17" s="10" t="n">
        <f aca="false">IF(AND(R$4&gt;=$C17,R$4&lt;=$D17),$E17/Assumptions!$B$5,0)</f>
        <v>0</v>
      </c>
      <c r="S17" s="10" t="n">
        <f aca="false">IF(AND(S$4&gt;=$C17,S$4&lt;=$D17),$E17/Assumptions!$B$5,0)</f>
        <v>0</v>
      </c>
      <c r="T17" s="10" t="n">
        <f aca="false">IF(AND(T$4&gt;=$C17,T$4&lt;=$D17),$E17/Assumptions!$B$5,0)</f>
        <v>0</v>
      </c>
      <c r="U17" s="10" t="n">
        <f aca="false">IF(AND(U$4&gt;=$C17,U$4&lt;=$D17),$E17/Assumptions!$B$5,0)</f>
        <v>0</v>
      </c>
      <c r="V17" s="10" t="n">
        <f aca="false">IF(AND(V$4&gt;=$C17,V$4&lt;=$D17),$E17/Assumptions!$B$5,0)</f>
        <v>0</v>
      </c>
      <c r="W17" s="10" t="n">
        <f aca="false">IF(AND(W$4&gt;=$C17,W$4&lt;=$D17),$E17/Assumptions!$B$5,0)</f>
        <v>20812.5</v>
      </c>
      <c r="X17" s="10" t="n">
        <f aca="false">IF(AND(X$4&gt;=$C17,X$4&lt;=$D17),$E17/Assumptions!$B$5,0)</f>
        <v>20812.5</v>
      </c>
      <c r="Y17" s="10" t="n">
        <f aca="false">IF(AND(Y$4&gt;=$C17,Y$4&lt;=$D17),$E17/Assumptions!$B$5,0)</f>
        <v>20812.5</v>
      </c>
      <c r="Z17" s="10" t="n">
        <f aca="false">IF(AND(Z$4&gt;=$C17,Z$4&lt;=$D17),$E17/Assumptions!$B$5,0)</f>
        <v>20812.5</v>
      </c>
      <c r="AA17" s="10" t="n">
        <f aca="false">IF(AND(AA$4&gt;=$C17,AA$4&lt;=$D17),$E17/Assumptions!$B$5,0)</f>
        <v>20812.5</v>
      </c>
      <c r="AB17" s="10" t="n">
        <f aca="false">IF(AND(AB$4&gt;=$C17,AB$4&lt;=$D17),$E17/Assumptions!$B$5,0)</f>
        <v>20812.5</v>
      </c>
      <c r="AC17" s="10" t="n">
        <f aca="false">IF(AND(AC$4&gt;=$C17,AC$4&lt;=$D17),$E17/Assumptions!$B$5,0)</f>
        <v>20812.5</v>
      </c>
      <c r="AD17" s="10" t="n">
        <f aca="false">IF(AND(AD$4&gt;=$C17,AD$4&lt;=$D17),$E17/Assumptions!$B$5,0)</f>
        <v>20812.5</v>
      </c>
      <c r="AE17" s="10" t="n">
        <f aca="false">IF(AND(AE$4&gt;=$C17,AE$4&lt;=$D17),$E17/Assumptions!$B$5,0)</f>
        <v>20812.5</v>
      </c>
      <c r="AF17" s="10" t="n">
        <f aca="false">IF(AND(AF$4&gt;=$C17,AF$4&lt;=$D17),$E17/Assumptions!$B$5,0)</f>
        <v>20812.5</v>
      </c>
      <c r="AG17" s="10" t="n">
        <f aca="false">IF(AND(AG$4&gt;=$C17,AG$4&lt;=$D17),$E17/Assumptions!$B$5,0)</f>
        <v>20812.5</v>
      </c>
    </row>
    <row r="18" customFormat="false" ht="15" hidden="false" customHeight="false" outlineLevel="0" collapsed="false">
      <c r="A18" s="0" t="s">
        <v>67</v>
      </c>
      <c r="B18" s="15" t="n">
        <v>13</v>
      </c>
      <c r="C18" s="15" t="n">
        <f aca="false">B18+Assumptions!$B$6</f>
        <v>15</v>
      </c>
      <c r="D18" s="15" t="n">
        <f aca="false">C18+Assumptions!$B$5-1</f>
        <v>26</v>
      </c>
      <c r="E18" s="16" t="n">
        <f aca="false">'Capacity &amp; Bookings'!Q34</f>
        <v>249750</v>
      </c>
      <c r="J18" s="10" t="n">
        <f aca="false">IF(AND(J$4&gt;=$C18,J$4&lt;=$D18),$E18/Assumptions!$B$5,0)</f>
        <v>0</v>
      </c>
      <c r="K18" s="10" t="n">
        <f aca="false">IF(AND(K$4&gt;=$C18,K$4&lt;=$D18),$E18/Assumptions!$B$5,0)</f>
        <v>0</v>
      </c>
      <c r="L18" s="10" t="n">
        <f aca="false">IF(AND(L$4&gt;=$C18,L$4&lt;=$D18),$E18/Assumptions!$B$5,0)</f>
        <v>0</v>
      </c>
      <c r="M18" s="10" t="n">
        <f aca="false">IF(AND(M$4&gt;=$C18,M$4&lt;=$D18),$E18/Assumptions!$B$5,0)</f>
        <v>0</v>
      </c>
      <c r="N18" s="10" t="n">
        <f aca="false">IF(AND(N$4&gt;=$C18,N$4&lt;=$D18),$E18/Assumptions!$B$5,0)</f>
        <v>0</v>
      </c>
      <c r="O18" s="10" t="n">
        <f aca="false">IF(AND(O$4&gt;=$C18,O$4&lt;=$D18),$E18/Assumptions!$B$5,0)</f>
        <v>0</v>
      </c>
      <c r="P18" s="10" t="n">
        <f aca="false">IF(AND(P$4&gt;=$C18,P$4&lt;=$D18),$E18/Assumptions!$B$5,0)</f>
        <v>0</v>
      </c>
      <c r="Q18" s="10" t="n">
        <f aca="false">IF(AND(Q$4&gt;=$C18,Q$4&lt;=$D18),$E18/Assumptions!$B$5,0)</f>
        <v>0</v>
      </c>
      <c r="R18" s="10" t="n">
        <f aca="false">IF(AND(R$4&gt;=$C18,R$4&lt;=$D18),$E18/Assumptions!$B$5,0)</f>
        <v>0</v>
      </c>
      <c r="S18" s="10" t="n">
        <f aca="false">IF(AND(S$4&gt;=$C18,S$4&lt;=$D18),$E18/Assumptions!$B$5,0)</f>
        <v>0</v>
      </c>
      <c r="T18" s="10" t="n">
        <f aca="false">IF(AND(T$4&gt;=$C18,T$4&lt;=$D18),$E18/Assumptions!$B$5,0)</f>
        <v>0</v>
      </c>
      <c r="U18" s="10" t="n">
        <f aca="false">IF(AND(U$4&gt;=$C18,U$4&lt;=$D18),$E18/Assumptions!$B$5,0)</f>
        <v>0</v>
      </c>
      <c r="V18" s="10" t="n">
        <f aca="false">IF(AND(V$4&gt;=$C18,V$4&lt;=$D18),$E18/Assumptions!$B$5,0)</f>
        <v>0</v>
      </c>
      <c r="W18" s="10" t="n">
        <f aca="false">IF(AND(W$4&gt;=$C18,W$4&lt;=$D18),$E18/Assumptions!$B$5,0)</f>
        <v>0</v>
      </c>
      <c r="X18" s="10" t="n">
        <f aca="false">IF(AND(X$4&gt;=$C18,X$4&lt;=$D18),$E18/Assumptions!$B$5,0)</f>
        <v>20812.5</v>
      </c>
      <c r="Y18" s="10" t="n">
        <f aca="false">IF(AND(Y$4&gt;=$C18,Y$4&lt;=$D18),$E18/Assumptions!$B$5,0)</f>
        <v>20812.5</v>
      </c>
      <c r="Z18" s="10" t="n">
        <f aca="false">IF(AND(Z$4&gt;=$C18,Z$4&lt;=$D18),$E18/Assumptions!$B$5,0)</f>
        <v>20812.5</v>
      </c>
      <c r="AA18" s="10" t="n">
        <f aca="false">IF(AND(AA$4&gt;=$C18,AA$4&lt;=$D18),$E18/Assumptions!$B$5,0)</f>
        <v>20812.5</v>
      </c>
      <c r="AB18" s="10" t="n">
        <f aca="false">IF(AND(AB$4&gt;=$C18,AB$4&lt;=$D18),$E18/Assumptions!$B$5,0)</f>
        <v>20812.5</v>
      </c>
      <c r="AC18" s="10" t="n">
        <f aca="false">IF(AND(AC$4&gt;=$C18,AC$4&lt;=$D18),$E18/Assumptions!$B$5,0)</f>
        <v>20812.5</v>
      </c>
      <c r="AD18" s="10" t="n">
        <f aca="false">IF(AND(AD$4&gt;=$C18,AD$4&lt;=$D18),$E18/Assumptions!$B$5,0)</f>
        <v>20812.5</v>
      </c>
      <c r="AE18" s="10" t="n">
        <f aca="false">IF(AND(AE$4&gt;=$C18,AE$4&lt;=$D18),$E18/Assumptions!$B$5,0)</f>
        <v>20812.5</v>
      </c>
      <c r="AF18" s="10" t="n">
        <f aca="false">IF(AND(AF$4&gt;=$C18,AF$4&lt;=$D18),$E18/Assumptions!$B$5,0)</f>
        <v>20812.5</v>
      </c>
      <c r="AG18" s="10" t="n">
        <f aca="false">IF(AND(AG$4&gt;=$C18,AG$4&lt;=$D18),$E18/Assumptions!$B$5,0)</f>
        <v>20812.5</v>
      </c>
    </row>
    <row r="19" customFormat="false" ht="15" hidden="false" customHeight="false" outlineLevel="0" collapsed="false">
      <c r="A19" s="0" t="s">
        <v>68</v>
      </c>
      <c r="B19" s="15" t="n">
        <v>14</v>
      </c>
      <c r="C19" s="15" t="n">
        <f aca="false">B19+Assumptions!$B$6</f>
        <v>16</v>
      </c>
      <c r="D19" s="15" t="n">
        <f aca="false">C19+Assumptions!$B$5-1</f>
        <v>27</v>
      </c>
      <c r="E19" s="16" t="n">
        <f aca="false">'Capacity &amp; Bookings'!R34</f>
        <v>249750</v>
      </c>
      <c r="J19" s="10" t="n">
        <f aca="false">IF(AND(J$4&gt;=$C19,J$4&lt;=$D19),$E19/Assumptions!$B$5,0)</f>
        <v>0</v>
      </c>
      <c r="K19" s="10" t="n">
        <f aca="false">IF(AND(K$4&gt;=$C19,K$4&lt;=$D19),$E19/Assumptions!$B$5,0)</f>
        <v>0</v>
      </c>
      <c r="L19" s="10" t="n">
        <f aca="false">IF(AND(L$4&gt;=$C19,L$4&lt;=$D19),$E19/Assumptions!$B$5,0)</f>
        <v>0</v>
      </c>
      <c r="M19" s="10" t="n">
        <f aca="false">IF(AND(M$4&gt;=$C19,M$4&lt;=$D19),$E19/Assumptions!$B$5,0)</f>
        <v>0</v>
      </c>
      <c r="N19" s="10" t="n">
        <f aca="false">IF(AND(N$4&gt;=$C19,N$4&lt;=$D19),$E19/Assumptions!$B$5,0)</f>
        <v>0</v>
      </c>
      <c r="O19" s="10" t="n">
        <f aca="false">IF(AND(O$4&gt;=$C19,O$4&lt;=$D19),$E19/Assumptions!$B$5,0)</f>
        <v>0</v>
      </c>
      <c r="P19" s="10" t="n">
        <f aca="false">IF(AND(P$4&gt;=$C19,P$4&lt;=$D19),$E19/Assumptions!$B$5,0)</f>
        <v>0</v>
      </c>
      <c r="Q19" s="10" t="n">
        <f aca="false">IF(AND(Q$4&gt;=$C19,Q$4&lt;=$D19),$E19/Assumptions!$B$5,0)</f>
        <v>0</v>
      </c>
      <c r="R19" s="10" t="n">
        <f aca="false">IF(AND(R$4&gt;=$C19,R$4&lt;=$D19),$E19/Assumptions!$B$5,0)</f>
        <v>0</v>
      </c>
      <c r="S19" s="10" t="n">
        <f aca="false">IF(AND(S$4&gt;=$C19,S$4&lt;=$D19),$E19/Assumptions!$B$5,0)</f>
        <v>0</v>
      </c>
      <c r="T19" s="10" t="n">
        <f aca="false">IF(AND(T$4&gt;=$C19,T$4&lt;=$D19),$E19/Assumptions!$B$5,0)</f>
        <v>0</v>
      </c>
      <c r="U19" s="10" t="n">
        <f aca="false">IF(AND(U$4&gt;=$C19,U$4&lt;=$D19),$E19/Assumptions!$B$5,0)</f>
        <v>0</v>
      </c>
      <c r="V19" s="10" t="n">
        <f aca="false">IF(AND(V$4&gt;=$C19,V$4&lt;=$D19),$E19/Assumptions!$B$5,0)</f>
        <v>0</v>
      </c>
      <c r="W19" s="10" t="n">
        <f aca="false">IF(AND(W$4&gt;=$C19,W$4&lt;=$D19),$E19/Assumptions!$B$5,0)</f>
        <v>0</v>
      </c>
      <c r="X19" s="10" t="n">
        <f aca="false">IF(AND(X$4&gt;=$C19,X$4&lt;=$D19),$E19/Assumptions!$B$5,0)</f>
        <v>0</v>
      </c>
      <c r="Y19" s="10" t="n">
        <f aca="false">IF(AND(Y$4&gt;=$C19,Y$4&lt;=$D19),$E19/Assumptions!$B$5,0)</f>
        <v>20812.5</v>
      </c>
      <c r="Z19" s="10" t="n">
        <f aca="false">IF(AND(Z$4&gt;=$C19,Z$4&lt;=$D19),$E19/Assumptions!$B$5,0)</f>
        <v>20812.5</v>
      </c>
      <c r="AA19" s="10" t="n">
        <f aca="false">IF(AND(AA$4&gt;=$C19,AA$4&lt;=$D19),$E19/Assumptions!$B$5,0)</f>
        <v>20812.5</v>
      </c>
      <c r="AB19" s="10" t="n">
        <f aca="false">IF(AND(AB$4&gt;=$C19,AB$4&lt;=$D19),$E19/Assumptions!$B$5,0)</f>
        <v>20812.5</v>
      </c>
      <c r="AC19" s="10" t="n">
        <f aca="false">IF(AND(AC$4&gt;=$C19,AC$4&lt;=$D19),$E19/Assumptions!$B$5,0)</f>
        <v>20812.5</v>
      </c>
      <c r="AD19" s="10" t="n">
        <f aca="false">IF(AND(AD$4&gt;=$C19,AD$4&lt;=$D19),$E19/Assumptions!$B$5,0)</f>
        <v>20812.5</v>
      </c>
      <c r="AE19" s="10" t="n">
        <f aca="false">IF(AND(AE$4&gt;=$C19,AE$4&lt;=$D19),$E19/Assumptions!$B$5,0)</f>
        <v>20812.5</v>
      </c>
      <c r="AF19" s="10" t="n">
        <f aca="false">IF(AND(AF$4&gt;=$C19,AF$4&lt;=$D19),$E19/Assumptions!$B$5,0)</f>
        <v>20812.5</v>
      </c>
      <c r="AG19" s="10" t="n">
        <f aca="false">IF(AND(AG$4&gt;=$C19,AG$4&lt;=$D19),$E19/Assumptions!$B$5,0)</f>
        <v>20812.5</v>
      </c>
    </row>
    <row r="20" customFormat="false" ht="15" hidden="false" customHeight="false" outlineLevel="0" collapsed="false">
      <c r="A20" s="0" t="s">
        <v>69</v>
      </c>
      <c r="B20" s="15" t="n">
        <v>15</v>
      </c>
      <c r="C20" s="15" t="n">
        <f aca="false">B20+Assumptions!$B$6</f>
        <v>17</v>
      </c>
      <c r="D20" s="15" t="n">
        <f aca="false">C20+Assumptions!$B$5-1</f>
        <v>28</v>
      </c>
      <c r="E20" s="16" t="n">
        <f aca="false">'Capacity &amp; Bookings'!S34</f>
        <v>249750</v>
      </c>
      <c r="J20" s="10" t="n">
        <f aca="false">IF(AND(J$4&gt;=$C20,J$4&lt;=$D20),$E20/Assumptions!$B$5,0)</f>
        <v>0</v>
      </c>
      <c r="K20" s="10" t="n">
        <f aca="false">IF(AND(K$4&gt;=$C20,K$4&lt;=$D20),$E20/Assumptions!$B$5,0)</f>
        <v>0</v>
      </c>
      <c r="L20" s="10" t="n">
        <f aca="false">IF(AND(L$4&gt;=$C20,L$4&lt;=$D20),$E20/Assumptions!$B$5,0)</f>
        <v>0</v>
      </c>
      <c r="M20" s="10" t="n">
        <f aca="false">IF(AND(M$4&gt;=$C20,M$4&lt;=$D20),$E20/Assumptions!$B$5,0)</f>
        <v>0</v>
      </c>
      <c r="N20" s="10" t="n">
        <f aca="false">IF(AND(N$4&gt;=$C20,N$4&lt;=$D20),$E20/Assumptions!$B$5,0)</f>
        <v>0</v>
      </c>
      <c r="O20" s="10" t="n">
        <f aca="false">IF(AND(O$4&gt;=$C20,O$4&lt;=$D20),$E20/Assumptions!$B$5,0)</f>
        <v>0</v>
      </c>
      <c r="P20" s="10" t="n">
        <f aca="false">IF(AND(P$4&gt;=$C20,P$4&lt;=$D20),$E20/Assumptions!$B$5,0)</f>
        <v>0</v>
      </c>
      <c r="Q20" s="10" t="n">
        <f aca="false">IF(AND(Q$4&gt;=$C20,Q$4&lt;=$D20),$E20/Assumptions!$B$5,0)</f>
        <v>0</v>
      </c>
      <c r="R20" s="10" t="n">
        <f aca="false">IF(AND(R$4&gt;=$C20,R$4&lt;=$D20),$E20/Assumptions!$B$5,0)</f>
        <v>0</v>
      </c>
      <c r="S20" s="10" t="n">
        <f aca="false">IF(AND(S$4&gt;=$C20,S$4&lt;=$D20),$E20/Assumptions!$B$5,0)</f>
        <v>0</v>
      </c>
      <c r="T20" s="10" t="n">
        <f aca="false">IF(AND(T$4&gt;=$C20,T$4&lt;=$D20),$E20/Assumptions!$B$5,0)</f>
        <v>0</v>
      </c>
      <c r="U20" s="10" t="n">
        <f aca="false">IF(AND(U$4&gt;=$C20,U$4&lt;=$D20),$E20/Assumptions!$B$5,0)</f>
        <v>0</v>
      </c>
      <c r="V20" s="10" t="n">
        <f aca="false">IF(AND(V$4&gt;=$C20,V$4&lt;=$D20),$E20/Assumptions!$B$5,0)</f>
        <v>0</v>
      </c>
      <c r="W20" s="10" t="n">
        <f aca="false">IF(AND(W$4&gt;=$C20,W$4&lt;=$D20),$E20/Assumptions!$B$5,0)</f>
        <v>0</v>
      </c>
      <c r="X20" s="10" t="n">
        <f aca="false">IF(AND(X$4&gt;=$C20,X$4&lt;=$D20),$E20/Assumptions!$B$5,0)</f>
        <v>0</v>
      </c>
      <c r="Y20" s="10" t="n">
        <f aca="false">IF(AND(Y$4&gt;=$C20,Y$4&lt;=$D20),$E20/Assumptions!$B$5,0)</f>
        <v>0</v>
      </c>
      <c r="Z20" s="10" t="n">
        <f aca="false">IF(AND(Z$4&gt;=$C20,Z$4&lt;=$D20),$E20/Assumptions!$B$5,0)</f>
        <v>20812.5</v>
      </c>
      <c r="AA20" s="10" t="n">
        <f aca="false">IF(AND(AA$4&gt;=$C20,AA$4&lt;=$D20),$E20/Assumptions!$B$5,0)</f>
        <v>20812.5</v>
      </c>
      <c r="AB20" s="10" t="n">
        <f aca="false">IF(AND(AB$4&gt;=$C20,AB$4&lt;=$D20),$E20/Assumptions!$B$5,0)</f>
        <v>20812.5</v>
      </c>
      <c r="AC20" s="10" t="n">
        <f aca="false">IF(AND(AC$4&gt;=$C20,AC$4&lt;=$D20),$E20/Assumptions!$B$5,0)</f>
        <v>20812.5</v>
      </c>
      <c r="AD20" s="10" t="n">
        <f aca="false">IF(AND(AD$4&gt;=$C20,AD$4&lt;=$D20),$E20/Assumptions!$B$5,0)</f>
        <v>20812.5</v>
      </c>
      <c r="AE20" s="10" t="n">
        <f aca="false">IF(AND(AE$4&gt;=$C20,AE$4&lt;=$D20),$E20/Assumptions!$B$5,0)</f>
        <v>20812.5</v>
      </c>
      <c r="AF20" s="10" t="n">
        <f aca="false">IF(AND(AF$4&gt;=$C20,AF$4&lt;=$D20),$E20/Assumptions!$B$5,0)</f>
        <v>20812.5</v>
      </c>
      <c r="AG20" s="10" t="n">
        <f aca="false">IF(AND(AG$4&gt;=$C20,AG$4&lt;=$D20),$E20/Assumptions!$B$5,0)</f>
        <v>20812.5</v>
      </c>
    </row>
    <row r="21" customFormat="false" ht="15" hidden="false" customHeight="false" outlineLevel="0" collapsed="false">
      <c r="A21" s="0" t="s">
        <v>70</v>
      </c>
      <c r="B21" s="15" t="n">
        <v>16</v>
      </c>
      <c r="C21" s="15" t="n">
        <f aca="false">B21+Assumptions!$B$6</f>
        <v>18</v>
      </c>
      <c r="D21" s="15" t="n">
        <f aca="false">C21+Assumptions!$B$5-1</f>
        <v>29</v>
      </c>
      <c r="E21" s="16" t="n">
        <f aca="false">'Capacity &amp; Bookings'!T34</f>
        <v>249750</v>
      </c>
      <c r="J21" s="10" t="n">
        <f aca="false">IF(AND(J$4&gt;=$C21,J$4&lt;=$D21),$E21/Assumptions!$B$5,0)</f>
        <v>0</v>
      </c>
      <c r="K21" s="10" t="n">
        <f aca="false">IF(AND(K$4&gt;=$C21,K$4&lt;=$D21),$E21/Assumptions!$B$5,0)</f>
        <v>0</v>
      </c>
      <c r="L21" s="10" t="n">
        <f aca="false">IF(AND(L$4&gt;=$C21,L$4&lt;=$D21),$E21/Assumptions!$B$5,0)</f>
        <v>0</v>
      </c>
      <c r="M21" s="10" t="n">
        <f aca="false">IF(AND(M$4&gt;=$C21,M$4&lt;=$D21),$E21/Assumptions!$B$5,0)</f>
        <v>0</v>
      </c>
      <c r="N21" s="10" t="n">
        <f aca="false">IF(AND(N$4&gt;=$C21,N$4&lt;=$D21),$E21/Assumptions!$B$5,0)</f>
        <v>0</v>
      </c>
      <c r="O21" s="10" t="n">
        <f aca="false">IF(AND(O$4&gt;=$C21,O$4&lt;=$D21),$E21/Assumptions!$B$5,0)</f>
        <v>0</v>
      </c>
      <c r="P21" s="10" t="n">
        <f aca="false">IF(AND(P$4&gt;=$C21,P$4&lt;=$D21),$E21/Assumptions!$B$5,0)</f>
        <v>0</v>
      </c>
      <c r="Q21" s="10" t="n">
        <f aca="false">IF(AND(Q$4&gt;=$C21,Q$4&lt;=$D21),$E21/Assumptions!$B$5,0)</f>
        <v>0</v>
      </c>
      <c r="R21" s="10" t="n">
        <f aca="false">IF(AND(R$4&gt;=$C21,R$4&lt;=$D21),$E21/Assumptions!$B$5,0)</f>
        <v>0</v>
      </c>
      <c r="S21" s="10" t="n">
        <f aca="false">IF(AND(S$4&gt;=$C21,S$4&lt;=$D21),$E21/Assumptions!$B$5,0)</f>
        <v>0</v>
      </c>
      <c r="T21" s="10" t="n">
        <f aca="false">IF(AND(T$4&gt;=$C21,T$4&lt;=$D21),$E21/Assumptions!$B$5,0)</f>
        <v>0</v>
      </c>
      <c r="U21" s="10" t="n">
        <f aca="false">IF(AND(U$4&gt;=$C21,U$4&lt;=$D21),$E21/Assumptions!$B$5,0)</f>
        <v>0</v>
      </c>
      <c r="V21" s="10" t="n">
        <f aca="false">IF(AND(V$4&gt;=$C21,V$4&lt;=$D21),$E21/Assumptions!$B$5,0)</f>
        <v>0</v>
      </c>
      <c r="W21" s="10" t="n">
        <f aca="false">IF(AND(W$4&gt;=$C21,W$4&lt;=$D21),$E21/Assumptions!$B$5,0)</f>
        <v>0</v>
      </c>
      <c r="X21" s="10" t="n">
        <f aca="false">IF(AND(X$4&gt;=$C21,X$4&lt;=$D21),$E21/Assumptions!$B$5,0)</f>
        <v>0</v>
      </c>
      <c r="Y21" s="10" t="n">
        <f aca="false">IF(AND(Y$4&gt;=$C21,Y$4&lt;=$D21),$E21/Assumptions!$B$5,0)</f>
        <v>0</v>
      </c>
      <c r="Z21" s="10" t="n">
        <f aca="false">IF(AND(Z$4&gt;=$C21,Z$4&lt;=$D21),$E21/Assumptions!$B$5,0)</f>
        <v>0</v>
      </c>
      <c r="AA21" s="10" t="n">
        <f aca="false">IF(AND(AA$4&gt;=$C21,AA$4&lt;=$D21),$E21/Assumptions!$B$5,0)</f>
        <v>20812.5</v>
      </c>
      <c r="AB21" s="10" t="n">
        <f aca="false">IF(AND(AB$4&gt;=$C21,AB$4&lt;=$D21),$E21/Assumptions!$B$5,0)</f>
        <v>20812.5</v>
      </c>
      <c r="AC21" s="10" t="n">
        <f aca="false">IF(AND(AC$4&gt;=$C21,AC$4&lt;=$D21),$E21/Assumptions!$B$5,0)</f>
        <v>20812.5</v>
      </c>
      <c r="AD21" s="10" t="n">
        <f aca="false">IF(AND(AD$4&gt;=$C21,AD$4&lt;=$D21),$E21/Assumptions!$B$5,0)</f>
        <v>20812.5</v>
      </c>
      <c r="AE21" s="10" t="n">
        <f aca="false">IF(AND(AE$4&gt;=$C21,AE$4&lt;=$D21),$E21/Assumptions!$B$5,0)</f>
        <v>20812.5</v>
      </c>
      <c r="AF21" s="10" t="n">
        <f aca="false">IF(AND(AF$4&gt;=$C21,AF$4&lt;=$D21),$E21/Assumptions!$B$5,0)</f>
        <v>20812.5</v>
      </c>
      <c r="AG21" s="10" t="n">
        <f aca="false">IF(AND(AG$4&gt;=$C21,AG$4&lt;=$D21),$E21/Assumptions!$B$5,0)</f>
        <v>20812.5</v>
      </c>
    </row>
    <row r="22" customFormat="false" ht="15" hidden="false" customHeight="false" outlineLevel="0" collapsed="false">
      <c r="A22" s="0" t="s">
        <v>71</v>
      </c>
      <c r="B22" s="15" t="n">
        <v>17</v>
      </c>
      <c r="C22" s="15" t="n">
        <f aca="false">B22+Assumptions!$B$6</f>
        <v>19</v>
      </c>
      <c r="D22" s="15" t="n">
        <f aca="false">C22+Assumptions!$B$5-1</f>
        <v>30</v>
      </c>
      <c r="E22" s="16" t="n">
        <f aca="false">'Capacity &amp; Bookings'!U34</f>
        <v>249750</v>
      </c>
      <c r="J22" s="10" t="n">
        <f aca="false">IF(AND(J$4&gt;=$C22,J$4&lt;=$D22),$E22/Assumptions!$B$5,0)</f>
        <v>0</v>
      </c>
      <c r="K22" s="10" t="n">
        <f aca="false">IF(AND(K$4&gt;=$C22,K$4&lt;=$D22),$E22/Assumptions!$B$5,0)</f>
        <v>0</v>
      </c>
      <c r="L22" s="10" t="n">
        <f aca="false">IF(AND(L$4&gt;=$C22,L$4&lt;=$D22),$E22/Assumptions!$B$5,0)</f>
        <v>0</v>
      </c>
      <c r="M22" s="10" t="n">
        <f aca="false">IF(AND(M$4&gt;=$C22,M$4&lt;=$D22),$E22/Assumptions!$B$5,0)</f>
        <v>0</v>
      </c>
      <c r="N22" s="10" t="n">
        <f aca="false">IF(AND(N$4&gt;=$C22,N$4&lt;=$D22),$E22/Assumptions!$B$5,0)</f>
        <v>0</v>
      </c>
      <c r="O22" s="10" t="n">
        <f aca="false">IF(AND(O$4&gt;=$C22,O$4&lt;=$D22),$E22/Assumptions!$B$5,0)</f>
        <v>0</v>
      </c>
      <c r="P22" s="10" t="n">
        <f aca="false">IF(AND(P$4&gt;=$C22,P$4&lt;=$D22),$E22/Assumptions!$B$5,0)</f>
        <v>0</v>
      </c>
      <c r="Q22" s="10" t="n">
        <f aca="false">IF(AND(Q$4&gt;=$C22,Q$4&lt;=$D22),$E22/Assumptions!$B$5,0)</f>
        <v>0</v>
      </c>
      <c r="R22" s="10" t="n">
        <f aca="false">IF(AND(R$4&gt;=$C22,R$4&lt;=$D22),$E22/Assumptions!$B$5,0)</f>
        <v>0</v>
      </c>
      <c r="S22" s="10" t="n">
        <f aca="false">IF(AND(S$4&gt;=$C22,S$4&lt;=$D22),$E22/Assumptions!$B$5,0)</f>
        <v>0</v>
      </c>
      <c r="T22" s="10" t="n">
        <f aca="false">IF(AND(T$4&gt;=$C22,T$4&lt;=$D22),$E22/Assumptions!$B$5,0)</f>
        <v>0</v>
      </c>
      <c r="U22" s="10" t="n">
        <f aca="false">IF(AND(U$4&gt;=$C22,U$4&lt;=$D22),$E22/Assumptions!$B$5,0)</f>
        <v>0</v>
      </c>
      <c r="V22" s="10" t="n">
        <f aca="false">IF(AND(V$4&gt;=$C22,V$4&lt;=$D22),$E22/Assumptions!$B$5,0)</f>
        <v>0</v>
      </c>
      <c r="W22" s="10" t="n">
        <f aca="false">IF(AND(W$4&gt;=$C22,W$4&lt;=$D22),$E22/Assumptions!$B$5,0)</f>
        <v>0</v>
      </c>
      <c r="X22" s="10" t="n">
        <f aca="false">IF(AND(X$4&gt;=$C22,X$4&lt;=$D22),$E22/Assumptions!$B$5,0)</f>
        <v>0</v>
      </c>
      <c r="Y22" s="10" t="n">
        <f aca="false">IF(AND(Y$4&gt;=$C22,Y$4&lt;=$D22),$E22/Assumptions!$B$5,0)</f>
        <v>0</v>
      </c>
      <c r="Z22" s="10" t="n">
        <f aca="false">IF(AND(Z$4&gt;=$C22,Z$4&lt;=$D22),$E22/Assumptions!$B$5,0)</f>
        <v>0</v>
      </c>
      <c r="AA22" s="10" t="n">
        <f aca="false">IF(AND(AA$4&gt;=$C22,AA$4&lt;=$D22),$E22/Assumptions!$B$5,0)</f>
        <v>0</v>
      </c>
      <c r="AB22" s="10" t="n">
        <f aca="false">IF(AND(AB$4&gt;=$C22,AB$4&lt;=$D22),$E22/Assumptions!$B$5,0)</f>
        <v>20812.5</v>
      </c>
      <c r="AC22" s="10" t="n">
        <f aca="false">IF(AND(AC$4&gt;=$C22,AC$4&lt;=$D22),$E22/Assumptions!$B$5,0)</f>
        <v>20812.5</v>
      </c>
      <c r="AD22" s="10" t="n">
        <f aca="false">IF(AND(AD$4&gt;=$C22,AD$4&lt;=$D22),$E22/Assumptions!$B$5,0)</f>
        <v>20812.5</v>
      </c>
      <c r="AE22" s="10" t="n">
        <f aca="false">IF(AND(AE$4&gt;=$C22,AE$4&lt;=$D22),$E22/Assumptions!$B$5,0)</f>
        <v>20812.5</v>
      </c>
      <c r="AF22" s="10" t="n">
        <f aca="false">IF(AND(AF$4&gt;=$C22,AF$4&lt;=$D22),$E22/Assumptions!$B$5,0)</f>
        <v>20812.5</v>
      </c>
      <c r="AG22" s="10" t="n">
        <f aca="false">IF(AND(AG$4&gt;=$C22,AG$4&lt;=$D22),$E22/Assumptions!$B$5,0)</f>
        <v>20812.5</v>
      </c>
    </row>
    <row r="23" customFormat="false" ht="15" hidden="false" customHeight="false" outlineLevel="0" collapsed="false">
      <c r="A23" s="0" t="s">
        <v>72</v>
      </c>
      <c r="B23" s="15" t="n">
        <v>18</v>
      </c>
      <c r="C23" s="15" t="n">
        <f aca="false">B23+Assumptions!$B$6</f>
        <v>20</v>
      </c>
      <c r="D23" s="15" t="n">
        <f aca="false">C23+Assumptions!$B$5-1</f>
        <v>31</v>
      </c>
      <c r="E23" s="16" t="n">
        <f aca="false">'Capacity &amp; Bookings'!V34</f>
        <v>249750</v>
      </c>
      <c r="J23" s="10" t="n">
        <f aca="false">IF(AND(J$4&gt;=$C23,J$4&lt;=$D23),$E23/Assumptions!$B$5,0)</f>
        <v>0</v>
      </c>
      <c r="K23" s="10" t="n">
        <f aca="false">IF(AND(K$4&gt;=$C23,K$4&lt;=$D23),$E23/Assumptions!$B$5,0)</f>
        <v>0</v>
      </c>
      <c r="L23" s="10" t="n">
        <f aca="false">IF(AND(L$4&gt;=$C23,L$4&lt;=$D23),$E23/Assumptions!$B$5,0)</f>
        <v>0</v>
      </c>
      <c r="M23" s="10" t="n">
        <f aca="false">IF(AND(M$4&gt;=$C23,M$4&lt;=$D23),$E23/Assumptions!$B$5,0)</f>
        <v>0</v>
      </c>
      <c r="N23" s="10" t="n">
        <f aca="false">IF(AND(N$4&gt;=$C23,N$4&lt;=$D23),$E23/Assumptions!$B$5,0)</f>
        <v>0</v>
      </c>
      <c r="O23" s="10" t="n">
        <f aca="false">IF(AND(O$4&gt;=$C23,O$4&lt;=$D23),$E23/Assumptions!$B$5,0)</f>
        <v>0</v>
      </c>
      <c r="P23" s="10" t="n">
        <f aca="false">IF(AND(P$4&gt;=$C23,P$4&lt;=$D23),$E23/Assumptions!$B$5,0)</f>
        <v>0</v>
      </c>
      <c r="Q23" s="10" t="n">
        <f aca="false">IF(AND(Q$4&gt;=$C23,Q$4&lt;=$D23),$E23/Assumptions!$B$5,0)</f>
        <v>0</v>
      </c>
      <c r="R23" s="10" t="n">
        <f aca="false">IF(AND(R$4&gt;=$C23,R$4&lt;=$D23),$E23/Assumptions!$B$5,0)</f>
        <v>0</v>
      </c>
      <c r="S23" s="10" t="n">
        <f aca="false">IF(AND(S$4&gt;=$C23,S$4&lt;=$D23),$E23/Assumptions!$B$5,0)</f>
        <v>0</v>
      </c>
      <c r="T23" s="10" t="n">
        <f aca="false">IF(AND(T$4&gt;=$C23,T$4&lt;=$D23),$E23/Assumptions!$B$5,0)</f>
        <v>0</v>
      </c>
      <c r="U23" s="10" t="n">
        <f aca="false">IF(AND(U$4&gt;=$C23,U$4&lt;=$D23),$E23/Assumptions!$B$5,0)</f>
        <v>0</v>
      </c>
      <c r="V23" s="10" t="n">
        <f aca="false">IF(AND(V$4&gt;=$C23,V$4&lt;=$D23),$E23/Assumptions!$B$5,0)</f>
        <v>0</v>
      </c>
      <c r="W23" s="10" t="n">
        <f aca="false">IF(AND(W$4&gt;=$C23,W$4&lt;=$D23),$E23/Assumptions!$B$5,0)</f>
        <v>0</v>
      </c>
      <c r="X23" s="10" t="n">
        <f aca="false">IF(AND(X$4&gt;=$C23,X$4&lt;=$D23),$E23/Assumptions!$B$5,0)</f>
        <v>0</v>
      </c>
      <c r="Y23" s="10" t="n">
        <f aca="false">IF(AND(Y$4&gt;=$C23,Y$4&lt;=$D23),$E23/Assumptions!$B$5,0)</f>
        <v>0</v>
      </c>
      <c r="Z23" s="10" t="n">
        <f aca="false">IF(AND(Z$4&gt;=$C23,Z$4&lt;=$D23),$E23/Assumptions!$B$5,0)</f>
        <v>0</v>
      </c>
      <c r="AA23" s="10" t="n">
        <f aca="false">IF(AND(AA$4&gt;=$C23,AA$4&lt;=$D23),$E23/Assumptions!$B$5,0)</f>
        <v>0</v>
      </c>
      <c r="AB23" s="10" t="n">
        <f aca="false">IF(AND(AB$4&gt;=$C23,AB$4&lt;=$D23),$E23/Assumptions!$B$5,0)</f>
        <v>0</v>
      </c>
      <c r="AC23" s="10" t="n">
        <f aca="false">IF(AND(AC$4&gt;=$C23,AC$4&lt;=$D23),$E23/Assumptions!$B$5,0)</f>
        <v>20812.5</v>
      </c>
      <c r="AD23" s="10" t="n">
        <f aca="false">IF(AND(AD$4&gt;=$C23,AD$4&lt;=$D23),$E23/Assumptions!$B$5,0)</f>
        <v>20812.5</v>
      </c>
      <c r="AE23" s="10" t="n">
        <f aca="false">IF(AND(AE$4&gt;=$C23,AE$4&lt;=$D23),$E23/Assumptions!$B$5,0)</f>
        <v>20812.5</v>
      </c>
      <c r="AF23" s="10" t="n">
        <f aca="false">IF(AND(AF$4&gt;=$C23,AF$4&lt;=$D23),$E23/Assumptions!$B$5,0)</f>
        <v>20812.5</v>
      </c>
      <c r="AG23" s="10" t="n">
        <f aca="false">IF(AND(AG$4&gt;=$C23,AG$4&lt;=$D23),$E23/Assumptions!$B$5,0)</f>
        <v>20812.5</v>
      </c>
    </row>
    <row r="24" customFormat="false" ht="15" hidden="false" customHeight="false" outlineLevel="0" collapsed="false">
      <c r="A24" s="0" t="s">
        <v>73</v>
      </c>
      <c r="B24" s="15" t="n">
        <v>19</v>
      </c>
      <c r="C24" s="15" t="n">
        <f aca="false">B24+Assumptions!$B$6</f>
        <v>21</v>
      </c>
      <c r="D24" s="15" t="n">
        <f aca="false">C24+Assumptions!$B$5-1</f>
        <v>32</v>
      </c>
      <c r="E24" s="16" t="n">
        <f aca="false">'Capacity &amp; Bookings'!W34</f>
        <v>249750</v>
      </c>
      <c r="J24" s="10" t="n">
        <f aca="false">IF(AND(J$4&gt;=$C24,J$4&lt;=$D24),$E24/Assumptions!$B$5,0)</f>
        <v>0</v>
      </c>
      <c r="K24" s="10" t="n">
        <f aca="false">IF(AND(K$4&gt;=$C24,K$4&lt;=$D24),$E24/Assumptions!$B$5,0)</f>
        <v>0</v>
      </c>
      <c r="L24" s="10" t="n">
        <f aca="false">IF(AND(L$4&gt;=$C24,L$4&lt;=$D24),$E24/Assumptions!$B$5,0)</f>
        <v>0</v>
      </c>
      <c r="M24" s="10" t="n">
        <f aca="false">IF(AND(M$4&gt;=$C24,M$4&lt;=$D24),$E24/Assumptions!$B$5,0)</f>
        <v>0</v>
      </c>
      <c r="N24" s="10" t="n">
        <f aca="false">IF(AND(N$4&gt;=$C24,N$4&lt;=$D24),$E24/Assumptions!$B$5,0)</f>
        <v>0</v>
      </c>
      <c r="O24" s="10" t="n">
        <f aca="false">IF(AND(O$4&gt;=$C24,O$4&lt;=$D24),$E24/Assumptions!$B$5,0)</f>
        <v>0</v>
      </c>
      <c r="P24" s="10" t="n">
        <f aca="false">IF(AND(P$4&gt;=$C24,P$4&lt;=$D24),$E24/Assumptions!$B$5,0)</f>
        <v>0</v>
      </c>
      <c r="Q24" s="10" t="n">
        <f aca="false">IF(AND(Q$4&gt;=$C24,Q$4&lt;=$D24),$E24/Assumptions!$B$5,0)</f>
        <v>0</v>
      </c>
      <c r="R24" s="10" t="n">
        <f aca="false">IF(AND(R$4&gt;=$C24,R$4&lt;=$D24),$E24/Assumptions!$B$5,0)</f>
        <v>0</v>
      </c>
      <c r="S24" s="10" t="n">
        <f aca="false">IF(AND(S$4&gt;=$C24,S$4&lt;=$D24),$E24/Assumptions!$B$5,0)</f>
        <v>0</v>
      </c>
      <c r="T24" s="10" t="n">
        <f aca="false">IF(AND(T$4&gt;=$C24,T$4&lt;=$D24),$E24/Assumptions!$B$5,0)</f>
        <v>0</v>
      </c>
      <c r="U24" s="10" t="n">
        <f aca="false">IF(AND(U$4&gt;=$C24,U$4&lt;=$D24),$E24/Assumptions!$B$5,0)</f>
        <v>0</v>
      </c>
      <c r="V24" s="10" t="n">
        <f aca="false">IF(AND(V$4&gt;=$C24,V$4&lt;=$D24),$E24/Assumptions!$B$5,0)</f>
        <v>0</v>
      </c>
      <c r="W24" s="10" t="n">
        <f aca="false">IF(AND(W$4&gt;=$C24,W$4&lt;=$D24),$E24/Assumptions!$B$5,0)</f>
        <v>0</v>
      </c>
      <c r="X24" s="10" t="n">
        <f aca="false">IF(AND(X$4&gt;=$C24,X$4&lt;=$D24),$E24/Assumptions!$B$5,0)</f>
        <v>0</v>
      </c>
      <c r="Y24" s="10" t="n">
        <f aca="false">IF(AND(Y$4&gt;=$C24,Y$4&lt;=$D24),$E24/Assumptions!$B$5,0)</f>
        <v>0</v>
      </c>
      <c r="Z24" s="10" t="n">
        <f aca="false">IF(AND(Z$4&gt;=$C24,Z$4&lt;=$D24),$E24/Assumptions!$B$5,0)</f>
        <v>0</v>
      </c>
      <c r="AA24" s="10" t="n">
        <f aca="false">IF(AND(AA$4&gt;=$C24,AA$4&lt;=$D24),$E24/Assumptions!$B$5,0)</f>
        <v>0</v>
      </c>
      <c r="AB24" s="10" t="n">
        <f aca="false">IF(AND(AB$4&gt;=$C24,AB$4&lt;=$D24),$E24/Assumptions!$B$5,0)</f>
        <v>0</v>
      </c>
      <c r="AC24" s="10" t="n">
        <f aca="false">IF(AND(AC$4&gt;=$C24,AC$4&lt;=$D24),$E24/Assumptions!$B$5,0)</f>
        <v>0</v>
      </c>
      <c r="AD24" s="10" t="n">
        <f aca="false">IF(AND(AD$4&gt;=$C24,AD$4&lt;=$D24),$E24/Assumptions!$B$5,0)</f>
        <v>20812.5</v>
      </c>
      <c r="AE24" s="10" t="n">
        <f aca="false">IF(AND(AE$4&gt;=$C24,AE$4&lt;=$D24),$E24/Assumptions!$B$5,0)</f>
        <v>20812.5</v>
      </c>
      <c r="AF24" s="10" t="n">
        <f aca="false">IF(AND(AF$4&gt;=$C24,AF$4&lt;=$D24),$E24/Assumptions!$B$5,0)</f>
        <v>20812.5</v>
      </c>
      <c r="AG24" s="10" t="n">
        <f aca="false">IF(AND(AG$4&gt;=$C24,AG$4&lt;=$D24),$E24/Assumptions!$B$5,0)</f>
        <v>20812.5</v>
      </c>
    </row>
    <row r="25" customFormat="false" ht="15" hidden="false" customHeight="false" outlineLevel="0" collapsed="false">
      <c r="A25" s="0" t="s">
        <v>74</v>
      </c>
      <c r="B25" s="15" t="n">
        <v>20</v>
      </c>
      <c r="C25" s="15" t="n">
        <f aca="false">B25+Assumptions!$B$6</f>
        <v>22</v>
      </c>
      <c r="D25" s="15" t="n">
        <f aca="false">C25+Assumptions!$B$5-1</f>
        <v>33</v>
      </c>
      <c r="E25" s="16" t="n">
        <f aca="false">'Capacity &amp; Bookings'!X34</f>
        <v>249750</v>
      </c>
      <c r="J25" s="10" t="n">
        <f aca="false">IF(AND(J$4&gt;=$C25,J$4&lt;=$D25),$E25/Assumptions!$B$5,0)</f>
        <v>0</v>
      </c>
      <c r="K25" s="10" t="n">
        <f aca="false">IF(AND(K$4&gt;=$C25,K$4&lt;=$D25),$E25/Assumptions!$B$5,0)</f>
        <v>0</v>
      </c>
      <c r="L25" s="10" t="n">
        <f aca="false">IF(AND(L$4&gt;=$C25,L$4&lt;=$D25),$E25/Assumptions!$B$5,0)</f>
        <v>0</v>
      </c>
      <c r="M25" s="10" t="n">
        <f aca="false">IF(AND(M$4&gt;=$C25,M$4&lt;=$D25),$E25/Assumptions!$B$5,0)</f>
        <v>0</v>
      </c>
      <c r="N25" s="10" t="n">
        <f aca="false">IF(AND(N$4&gt;=$C25,N$4&lt;=$D25),$E25/Assumptions!$B$5,0)</f>
        <v>0</v>
      </c>
      <c r="O25" s="10" t="n">
        <f aca="false">IF(AND(O$4&gt;=$C25,O$4&lt;=$D25),$E25/Assumptions!$B$5,0)</f>
        <v>0</v>
      </c>
      <c r="P25" s="10" t="n">
        <f aca="false">IF(AND(P$4&gt;=$C25,P$4&lt;=$D25),$E25/Assumptions!$B$5,0)</f>
        <v>0</v>
      </c>
      <c r="Q25" s="10" t="n">
        <f aca="false">IF(AND(Q$4&gt;=$C25,Q$4&lt;=$D25),$E25/Assumptions!$B$5,0)</f>
        <v>0</v>
      </c>
      <c r="R25" s="10" t="n">
        <f aca="false">IF(AND(R$4&gt;=$C25,R$4&lt;=$D25),$E25/Assumptions!$B$5,0)</f>
        <v>0</v>
      </c>
      <c r="S25" s="10" t="n">
        <f aca="false">IF(AND(S$4&gt;=$C25,S$4&lt;=$D25),$E25/Assumptions!$B$5,0)</f>
        <v>0</v>
      </c>
      <c r="T25" s="10" t="n">
        <f aca="false">IF(AND(T$4&gt;=$C25,T$4&lt;=$D25),$E25/Assumptions!$B$5,0)</f>
        <v>0</v>
      </c>
      <c r="U25" s="10" t="n">
        <f aca="false">IF(AND(U$4&gt;=$C25,U$4&lt;=$D25),$E25/Assumptions!$B$5,0)</f>
        <v>0</v>
      </c>
      <c r="V25" s="10" t="n">
        <f aca="false">IF(AND(V$4&gt;=$C25,V$4&lt;=$D25),$E25/Assumptions!$B$5,0)</f>
        <v>0</v>
      </c>
      <c r="W25" s="10" t="n">
        <f aca="false">IF(AND(W$4&gt;=$C25,W$4&lt;=$D25),$E25/Assumptions!$B$5,0)</f>
        <v>0</v>
      </c>
      <c r="X25" s="10" t="n">
        <f aca="false">IF(AND(X$4&gt;=$C25,X$4&lt;=$D25),$E25/Assumptions!$B$5,0)</f>
        <v>0</v>
      </c>
      <c r="Y25" s="10" t="n">
        <f aca="false">IF(AND(Y$4&gt;=$C25,Y$4&lt;=$D25),$E25/Assumptions!$B$5,0)</f>
        <v>0</v>
      </c>
      <c r="Z25" s="10" t="n">
        <f aca="false">IF(AND(Z$4&gt;=$C25,Z$4&lt;=$D25),$E25/Assumptions!$B$5,0)</f>
        <v>0</v>
      </c>
      <c r="AA25" s="10" t="n">
        <f aca="false">IF(AND(AA$4&gt;=$C25,AA$4&lt;=$D25),$E25/Assumptions!$B$5,0)</f>
        <v>0</v>
      </c>
      <c r="AB25" s="10" t="n">
        <f aca="false">IF(AND(AB$4&gt;=$C25,AB$4&lt;=$D25),$E25/Assumptions!$B$5,0)</f>
        <v>0</v>
      </c>
      <c r="AC25" s="10" t="n">
        <f aca="false">IF(AND(AC$4&gt;=$C25,AC$4&lt;=$D25),$E25/Assumptions!$B$5,0)</f>
        <v>0</v>
      </c>
      <c r="AD25" s="10" t="n">
        <f aca="false">IF(AND(AD$4&gt;=$C25,AD$4&lt;=$D25),$E25/Assumptions!$B$5,0)</f>
        <v>0</v>
      </c>
      <c r="AE25" s="10" t="n">
        <f aca="false">IF(AND(AE$4&gt;=$C25,AE$4&lt;=$D25),$E25/Assumptions!$B$5,0)</f>
        <v>20812.5</v>
      </c>
      <c r="AF25" s="10" t="n">
        <f aca="false">IF(AND(AF$4&gt;=$C25,AF$4&lt;=$D25),$E25/Assumptions!$B$5,0)</f>
        <v>20812.5</v>
      </c>
      <c r="AG25" s="10" t="n">
        <f aca="false">IF(AND(AG$4&gt;=$C25,AG$4&lt;=$D25),$E25/Assumptions!$B$5,0)</f>
        <v>20812.5</v>
      </c>
    </row>
    <row r="26" customFormat="false" ht="15" hidden="false" customHeight="false" outlineLevel="0" collapsed="false">
      <c r="A26" s="0" t="s">
        <v>75</v>
      </c>
      <c r="B26" s="15" t="n">
        <v>21</v>
      </c>
      <c r="C26" s="15" t="n">
        <f aca="false">B26+Assumptions!$B$6</f>
        <v>23</v>
      </c>
      <c r="D26" s="15" t="n">
        <f aca="false">C26+Assumptions!$B$5-1</f>
        <v>34</v>
      </c>
      <c r="E26" s="16" t="n">
        <f aca="false">'Capacity &amp; Bookings'!Y34</f>
        <v>249750</v>
      </c>
      <c r="J26" s="10" t="n">
        <f aca="false">IF(AND(J$4&gt;=$C26,J$4&lt;=$D26),$E26/Assumptions!$B$5,0)</f>
        <v>0</v>
      </c>
      <c r="K26" s="10" t="n">
        <f aca="false">IF(AND(K$4&gt;=$C26,K$4&lt;=$D26),$E26/Assumptions!$B$5,0)</f>
        <v>0</v>
      </c>
      <c r="L26" s="10" t="n">
        <f aca="false">IF(AND(L$4&gt;=$C26,L$4&lt;=$D26),$E26/Assumptions!$B$5,0)</f>
        <v>0</v>
      </c>
      <c r="M26" s="10" t="n">
        <f aca="false">IF(AND(M$4&gt;=$C26,M$4&lt;=$D26),$E26/Assumptions!$B$5,0)</f>
        <v>0</v>
      </c>
      <c r="N26" s="10" t="n">
        <f aca="false">IF(AND(N$4&gt;=$C26,N$4&lt;=$D26),$E26/Assumptions!$B$5,0)</f>
        <v>0</v>
      </c>
      <c r="O26" s="10" t="n">
        <f aca="false">IF(AND(O$4&gt;=$C26,O$4&lt;=$D26),$E26/Assumptions!$B$5,0)</f>
        <v>0</v>
      </c>
      <c r="P26" s="10" t="n">
        <f aca="false">IF(AND(P$4&gt;=$C26,P$4&lt;=$D26),$E26/Assumptions!$B$5,0)</f>
        <v>0</v>
      </c>
      <c r="Q26" s="10" t="n">
        <f aca="false">IF(AND(Q$4&gt;=$C26,Q$4&lt;=$D26),$E26/Assumptions!$B$5,0)</f>
        <v>0</v>
      </c>
      <c r="R26" s="10" t="n">
        <f aca="false">IF(AND(R$4&gt;=$C26,R$4&lt;=$D26),$E26/Assumptions!$B$5,0)</f>
        <v>0</v>
      </c>
      <c r="S26" s="10" t="n">
        <f aca="false">IF(AND(S$4&gt;=$C26,S$4&lt;=$D26),$E26/Assumptions!$B$5,0)</f>
        <v>0</v>
      </c>
      <c r="T26" s="10" t="n">
        <f aca="false">IF(AND(T$4&gt;=$C26,T$4&lt;=$D26),$E26/Assumptions!$B$5,0)</f>
        <v>0</v>
      </c>
      <c r="U26" s="10" t="n">
        <f aca="false">IF(AND(U$4&gt;=$C26,U$4&lt;=$D26),$E26/Assumptions!$B$5,0)</f>
        <v>0</v>
      </c>
      <c r="V26" s="10" t="n">
        <f aca="false">IF(AND(V$4&gt;=$C26,V$4&lt;=$D26),$E26/Assumptions!$B$5,0)</f>
        <v>0</v>
      </c>
      <c r="W26" s="10" t="n">
        <f aca="false">IF(AND(W$4&gt;=$C26,W$4&lt;=$D26),$E26/Assumptions!$B$5,0)</f>
        <v>0</v>
      </c>
      <c r="X26" s="10" t="n">
        <f aca="false">IF(AND(X$4&gt;=$C26,X$4&lt;=$D26),$E26/Assumptions!$B$5,0)</f>
        <v>0</v>
      </c>
      <c r="Y26" s="10" t="n">
        <f aca="false">IF(AND(Y$4&gt;=$C26,Y$4&lt;=$D26),$E26/Assumptions!$B$5,0)</f>
        <v>0</v>
      </c>
      <c r="Z26" s="10" t="n">
        <f aca="false">IF(AND(Z$4&gt;=$C26,Z$4&lt;=$D26),$E26/Assumptions!$B$5,0)</f>
        <v>0</v>
      </c>
      <c r="AA26" s="10" t="n">
        <f aca="false">IF(AND(AA$4&gt;=$C26,AA$4&lt;=$D26),$E26/Assumptions!$B$5,0)</f>
        <v>0</v>
      </c>
      <c r="AB26" s="10" t="n">
        <f aca="false">IF(AND(AB$4&gt;=$C26,AB$4&lt;=$D26),$E26/Assumptions!$B$5,0)</f>
        <v>0</v>
      </c>
      <c r="AC26" s="10" t="n">
        <f aca="false">IF(AND(AC$4&gt;=$C26,AC$4&lt;=$D26),$E26/Assumptions!$B$5,0)</f>
        <v>0</v>
      </c>
      <c r="AD26" s="10" t="n">
        <f aca="false">IF(AND(AD$4&gt;=$C26,AD$4&lt;=$D26),$E26/Assumptions!$B$5,0)</f>
        <v>0</v>
      </c>
      <c r="AE26" s="10" t="n">
        <f aca="false">IF(AND(AE$4&gt;=$C26,AE$4&lt;=$D26),$E26/Assumptions!$B$5,0)</f>
        <v>0</v>
      </c>
      <c r="AF26" s="10" t="n">
        <f aca="false">IF(AND(AF$4&gt;=$C26,AF$4&lt;=$D26),$E26/Assumptions!$B$5,0)</f>
        <v>20812.5</v>
      </c>
      <c r="AG26" s="10" t="n">
        <f aca="false">IF(AND(AG$4&gt;=$C26,AG$4&lt;=$D26),$E26/Assumptions!$B$5,0)</f>
        <v>20812.5</v>
      </c>
    </row>
    <row r="27" customFormat="false" ht="15" hidden="false" customHeight="false" outlineLevel="0" collapsed="false">
      <c r="A27" s="0" t="s">
        <v>76</v>
      </c>
      <c r="B27" s="15" t="n">
        <v>22</v>
      </c>
      <c r="C27" s="15" t="n">
        <f aca="false">B27+Assumptions!$B$6</f>
        <v>24</v>
      </c>
      <c r="D27" s="15" t="n">
        <f aca="false">C27+Assumptions!$B$5-1</f>
        <v>35</v>
      </c>
      <c r="E27" s="16" t="n">
        <f aca="false">'Capacity &amp; Bookings'!Z34</f>
        <v>249750</v>
      </c>
      <c r="J27" s="10" t="n">
        <f aca="false">IF(AND(J$4&gt;=$C27,J$4&lt;=$D27),$E27/Assumptions!$B$5,0)</f>
        <v>0</v>
      </c>
      <c r="K27" s="10" t="n">
        <f aca="false">IF(AND(K$4&gt;=$C27,K$4&lt;=$D27),$E27/Assumptions!$B$5,0)</f>
        <v>0</v>
      </c>
      <c r="L27" s="10" t="n">
        <f aca="false">IF(AND(L$4&gt;=$C27,L$4&lt;=$D27),$E27/Assumptions!$B$5,0)</f>
        <v>0</v>
      </c>
      <c r="M27" s="10" t="n">
        <f aca="false">IF(AND(M$4&gt;=$C27,M$4&lt;=$D27),$E27/Assumptions!$B$5,0)</f>
        <v>0</v>
      </c>
      <c r="N27" s="10" t="n">
        <f aca="false">IF(AND(N$4&gt;=$C27,N$4&lt;=$D27),$E27/Assumptions!$B$5,0)</f>
        <v>0</v>
      </c>
      <c r="O27" s="10" t="n">
        <f aca="false">IF(AND(O$4&gt;=$C27,O$4&lt;=$D27),$E27/Assumptions!$B$5,0)</f>
        <v>0</v>
      </c>
      <c r="P27" s="10" t="n">
        <f aca="false">IF(AND(P$4&gt;=$C27,P$4&lt;=$D27),$E27/Assumptions!$B$5,0)</f>
        <v>0</v>
      </c>
      <c r="Q27" s="10" t="n">
        <f aca="false">IF(AND(Q$4&gt;=$C27,Q$4&lt;=$D27),$E27/Assumptions!$B$5,0)</f>
        <v>0</v>
      </c>
      <c r="R27" s="10" t="n">
        <f aca="false">IF(AND(R$4&gt;=$C27,R$4&lt;=$D27),$E27/Assumptions!$B$5,0)</f>
        <v>0</v>
      </c>
      <c r="S27" s="10" t="n">
        <f aca="false">IF(AND(S$4&gt;=$C27,S$4&lt;=$D27),$E27/Assumptions!$B$5,0)</f>
        <v>0</v>
      </c>
      <c r="T27" s="10" t="n">
        <f aca="false">IF(AND(T$4&gt;=$C27,T$4&lt;=$D27),$E27/Assumptions!$B$5,0)</f>
        <v>0</v>
      </c>
      <c r="U27" s="10" t="n">
        <f aca="false">IF(AND(U$4&gt;=$C27,U$4&lt;=$D27),$E27/Assumptions!$B$5,0)</f>
        <v>0</v>
      </c>
      <c r="V27" s="10" t="n">
        <f aca="false">IF(AND(V$4&gt;=$C27,V$4&lt;=$D27),$E27/Assumptions!$B$5,0)</f>
        <v>0</v>
      </c>
      <c r="W27" s="10" t="n">
        <f aca="false">IF(AND(W$4&gt;=$C27,W$4&lt;=$D27),$E27/Assumptions!$B$5,0)</f>
        <v>0</v>
      </c>
      <c r="X27" s="10" t="n">
        <f aca="false">IF(AND(X$4&gt;=$C27,X$4&lt;=$D27),$E27/Assumptions!$B$5,0)</f>
        <v>0</v>
      </c>
      <c r="Y27" s="10" t="n">
        <f aca="false">IF(AND(Y$4&gt;=$C27,Y$4&lt;=$D27),$E27/Assumptions!$B$5,0)</f>
        <v>0</v>
      </c>
      <c r="Z27" s="10" t="n">
        <f aca="false">IF(AND(Z$4&gt;=$C27,Z$4&lt;=$D27),$E27/Assumptions!$B$5,0)</f>
        <v>0</v>
      </c>
      <c r="AA27" s="10" t="n">
        <f aca="false">IF(AND(AA$4&gt;=$C27,AA$4&lt;=$D27),$E27/Assumptions!$B$5,0)</f>
        <v>0</v>
      </c>
      <c r="AB27" s="10" t="n">
        <f aca="false">IF(AND(AB$4&gt;=$C27,AB$4&lt;=$D27),$E27/Assumptions!$B$5,0)</f>
        <v>0</v>
      </c>
      <c r="AC27" s="10" t="n">
        <f aca="false">IF(AND(AC$4&gt;=$C27,AC$4&lt;=$D27),$E27/Assumptions!$B$5,0)</f>
        <v>0</v>
      </c>
      <c r="AD27" s="10" t="n">
        <f aca="false">IF(AND(AD$4&gt;=$C27,AD$4&lt;=$D27),$E27/Assumptions!$B$5,0)</f>
        <v>0</v>
      </c>
      <c r="AE27" s="10" t="n">
        <f aca="false">IF(AND(AE$4&gt;=$C27,AE$4&lt;=$D27),$E27/Assumptions!$B$5,0)</f>
        <v>0</v>
      </c>
      <c r="AF27" s="10" t="n">
        <f aca="false">IF(AND(AF$4&gt;=$C27,AF$4&lt;=$D27),$E27/Assumptions!$B$5,0)</f>
        <v>0</v>
      </c>
      <c r="AG27" s="10" t="n">
        <f aca="false">IF(AND(AG$4&gt;=$C27,AG$4&lt;=$D27),$E27/Assumptions!$B$5,0)</f>
        <v>20812.5</v>
      </c>
    </row>
    <row r="28" customFormat="false" ht="15" hidden="false" customHeight="false" outlineLevel="0" collapsed="false">
      <c r="A28" s="0" t="s">
        <v>77</v>
      </c>
      <c r="B28" s="15" t="n">
        <v>23</v>
      </c>
      <c r="C28" s="15" t="n">
        <f aca="false">B28+Assumptions!$B$6</f>
        <v>25</v>
      </c>
      <c r="D28" s="15" t="n">
        <f aca="false">C28+Assumptions!$B$5-1</f>
        <v>36</v>
      </c>
      <c r="E28" s="16" t="n">
        <f aca="false">'Capacity &amp; Bookings'!AA34</f>
        <v>249750</v>
      </c>
      <c r="J28" s="10" t="n">
        <f aca="false">IF(AND(J$4&gt;=$C28,J$4&lt;=$D28),$E28/Assumptions!$B$5,0)</f>
        <v>0</v>
      </c>
      <c r="K28" s="10" t="n">
        <f aca="false">IF(AND(K$4&gt;=$C28,K$4&lt;=$D28),$E28/Assumptions!$B$5,0)</f>
        <v>0</v>
      </c>
      <c r="L28" s="10" t="n">
        <f aca="false">IF(AND(L$4&gt;=$C28,L$4&lt;=$D28),$E28/Assumptions!$B$5,0)</f>
        <v>0</v>
      </c>
      <c r="M28" s="10" t="n">
        <f aca="false">IF(AND(M$4&gt;=$C28,M$4&lt;=$D28),$E28/Assumptions!$B$5,0)</f>
        <v>0</v>
      </c>
      <c r="N28" s="10" t="n">
        <f aca="false">IF(AND(N$4&gt;=$C28,N$4&lt;=$D28),$E28/Assumptions!$B$5,0)</f>
        <v>0</v>
      </c>
      <c r="O28" s="10" t="n">
        <f aca="false">IF(AND(O$4&gt;=$C28,O$4&lt;=$D28),$E28/Assumptions!$B$5,0)</f>
        <v>0</v>
      </c>
      <c r="P28" s="10" t="n">
        <f aca="false">IF(AND(P$4&gt;=$C28,P$4&lt;=$D28),$E28/Assumptions!$B$5,0)</f>
        <v>0</v>
      </c>
      <c r="Q28" s="10" t="n">
        <f aca="false">IF(AND(Q$4&gt;=$C28,Q$4&lt;=$D28),$E28/Assumptions!$B$5,0)</f>
        <v>0</v>
      </c>
      <c r="R28" s="10" t="n">
        <f aca="false">IF(AND(R$4&gt;=$C28,R$4&lt;=$D28),$E28/Assumptions!$B$5,0)</f>
        <v>0</v>
      </c>
      <c r="S28" s="10" t="n">
        <f aca="false">IF(AND(S$4&gt;=$C28,S$4&lt;=$D28),$E28/Assumptions!$B$5,0)</f>
        <v>0</v>
      </c>
      <c r="T28" s="10" t="n">
        <f aca="false">IF(AND(T$4&gt;=$C28,T$4&lt;=$D28),$E28/Assumptions!$B$5,0)</f>
        <v>0</v>
      </c>
      <c r="U28" s="10" t="n">
        <f aca="false">IF(AND(U$4&gt;=$C28,U$4&lt;=$D28),$E28/Assumptions!$B$5,0)</f>
        <v>0</v>
      </c>
      <c r="V28" s="10" t="n">
        <f aca="false">IF(AND(V$4&gt;=$C28,V$4&lt;=$D28),$E28/Assumptions!$B$5,0)</f>
        <v>0</v>
      </c>
      <c r="W28" s="10" t="n">
        <f aca="false">IF(AND(W$4&gt;=$C28,W$4&lt;=$D28),$E28/Assumptions!$B$5,0)</f>
        <v>0</v>
      </c>
      <c r="X28" s="10" t="n">
        <f aca="false">IF(AND(X$4&gt;=$C28,X$4&lt;=$D28),$E28/Assumptions!$B$5,0)</f>
        <v>0</v>
      </c>
      <c r="Y28" s="10" t="n">
        <f aca="false">IF(AND(Y$4&gt;=$C28,Y$4&lt;=$D28),$E28/Assumptions!$B$5,0)</f>
        <v>0</v>
      </c>
      <c r="Z28" s="10" t="n">
        <f aca="false">IF(AND(Z$4&gt;=$C28,Z$4&lt;=$D28),$E28/Assumptions!$B$5,0)</f>
        <v>0</v>
      </c>
      <c r="AA28" s="10" t="n">
        <f aca="false">IF(AND(AA$4&gt;=$C28,AA$4&lt;=$D28),$E28/Assumptions!$B$5,0)</f>
        <v>0</v>
      </c>
      <c r="AB28" s="10" t="n">
        <f aca="false">IF(AND(AB$4&gt;=$C28,AB$4&lt;=$D28),$E28/Assumptions!$B$5,0)</f>
        <v>0</v>
      </c>
      <c r="AC28" s="10" t="n">
        <f aca="false">IF(AND(AC$4&gt;=$C28,AC$4&lt;=$D28),$E28/Assumptions!$B$5,0)</f>
        <v>0</v>
      </c>
      <c r="AD28" s="10" t="n">
        <f aca="false">IF(AND(AD$4&gt;=$C28,AD$4&lt;=$D28),$E28/Assumptions!$B$5,0)</f>
        <v>0</v>
      </c>
      <c r="AE28" s="10" t="n">
        <f aca="false">IF(AND(AE$4&gt;=$C28,AE$4&lt;=$D28),$E28/Assumptions!$B$5,0)</f>
        <v>0</v>
      </c>
      <c r="AF28" s="10" t="n">
        <f aca="false">IF(AND(AF$4&gt;=$C28,AF$4&lt;=$D28),$E28/Assumptions!$B$5,0)</f>
        <v>0</v>
      </c>
      <c r="AG28" s="10" t="n">
        <f aca="false">IF(AND(AG$4&gt;=$C28,AG$4&lt;=$D28),$E28/Assumptions!$B$5,0)</f>
        <v>0</v>
      </c>
    </row>
    <row r="29" customFormat="false" ht="15" hidden="false" customHeight="false" outlineLevel="0" collapsed="false">
      <c r="A29" s="0" t="s">
        <v>78</v>
      </c>
      <c r="B29" s="15" t="n">
        <v>24</v>
      </c>
      <c r="C29" s="15" t="n">
        <f aca="false">B29+Assumptions!$B$6</f>
        <v>26</v>
      </c>
      <c r="D29" s="15" t="n">
        <f aca="false">C29+Assumptions!$B$5-1</f>
        <v>37</v>
      </c>
      <c r="E29" s="16" t="n">
        <f aca="false">'Capacity &amp; Bookings'!AB34</f>
        <v>249750</v>
      </c>
      <c r="J29" s="10" t="n">
        <f aca="false">IF(AND(J$4&gt;=$C29,J$4&lt;=$D29),$E29/Assumptions!$B$5,0)</f>
        <v>0</v>
      </c>
      <c r="K29" s="10" t="n">
        <f aca="false">IF(AND(K$4&gt;=$C29,K$4&lt;=$D29),$E29/Assumptions!$B$5,0)</f>
        <v>0</v>
      </c>
      <c r="L29" s="10" t="n">
        <f aca="false">IF(AND(L$4&gt;=$C29,L$4&lt;=$D29),$E29/Assumptions!$B$5,0)</f>
        <v>0</v>
      </c>
      <c r="M29" s="10" t="n">
        <f aca="false">IF(AND(M$4&gt;=$C29,M$4&lt;=$D29),$E29/Assumptions!$B$5,0)</f>
        <v>0</v>
      </c>
      <c r="N29" s="10" t="n">
        <f aca="false">IF(AND(N$4&gt;=$C29,N$4&lt;=$D29),$E29/Assumptions!$B$5,0)</f>
        <v>0</v>
      </c>
      <c r="O29" s="10" t="n">
        <f aca="false">IF(AND(O$4&gt;=$C29,O$4&lt;=$D29),$E29/Assumptions!$B$5,0)</f>
        <v>0</v>
      </c>
      <c r="P29" s="10" t="n">
        <f aca="false">IF(AND(P$4&gt;=$C29,P$4&lt;=$D29),$E29/Assumptions!$B$5,0)</f>
        <v>0</v>
      </c>
      <c r="Q29" s="10" t="n">
        <f aca="false">IF(AND(Q$4&gt;=$C29,Q$4&lt;=$D29),$E29/Assumptions!$B$5,0)</f>
        <v>0</v>
      </c>
      <c r="R29" s="10" t="n">
        <f aca="false">IF(AND(R$4&gt;=$C29,R$4&lt;=$D29),$E29/Assumptions!$B$5,0)</f>
        <v>0</v>
      </c>
      <c r="S29" s="10" t="n">
        <f aca="false">IF(AND(S$4&gt;=$C29,S$4&lt;=$D29),$E29/Assumptions!$B$5,0)</f>
        <v>0</v>
      </c>
      <c r="T29" s="10" t="n">
        <f aca="false">IF(AND(T$4&gt;=$C29,T$4&lt;=$D29),$E29/Assumptions!$B$5,0)</f>
        <v>0</v>
      </c>
      <c r="U29" s="10" t="n">
        <f aca="false">IF(AND(U$4&gt;=$C29,U$4&lt;=$D29),$E29/Assumptions!$B$5,0)</f>
        <v>0</v>
      </c>
      <c r="V29" s="10" t="n">
        <f aca="false">IF(AND(V$4&gt;=$C29,V$4&lt;=$D29),$E29/Assumptions!$B$5,0)</f>
        <v>0</v>
      </c>
      <c r="W29" s="10" t="n">
        <f aca="false">IF(AND(W$4&gt;=$C29,W$4&lt;=$D29),$E29/Assumptions!$B$5,0)</f>
        <v>0</v>
      </c>
      <c r="X29" s="10" t="n">
        <f aca="false">IF(AND(X$4&gt;=$C29,X$4&lt;=$D29),$E29/Assumptions!$B$5,0)</f>
        <v>0</v>
      </c>
      <c r="Y29" s="10" t="n">
        <f aca="false">IF(AND(Y$4&gt;=$C29,Y$4&lt;=$D29),$E29/Assumptions!$B$5,0)</f>
        <v>0</v>
      </c>
      <c r="Z29" s="10" t="n">
        <f aca="false">IF(AND(Z$4&gt;=$C29,Z$4&lt;=$D29),$E29/Assumptions!$B$5,0)</f>
        <v>0</v>
      </c>
      <c r="AA29" s="10" t="n">
        <f aca="false">IF(AND(AA$4&gt;=$C29,AA$4&lt;=$D29),$E29/Assumptions!$B$5,0)</f>
        <v>0</v>
      </c>
      <c r="AB29" s="10" t="n">
        <f aca="false">IF(AND(AB$4&gt;=$C29,AB$4&lt;=$D29),$E29/Assumptions!$B$5,0)</f>
        <v>0</v>
      </c>
      <c r="AC29" s="10" t="n">
        <f aca="false">IF(AND(AC$4&gt;=$C29,AC$4&lt;=$D29),$E29/Assumptions!$B$5,0)</f>
        <v>0</v>
      </c>
      <c r="AD29" s="10" t="n">
        <f aca="false">IF(AND(AD$4&gt;=$C29,AD$4&lt;=$D29),$E29/Assumptions!$B$5,0)</f>
        <v>0</v>
      </c>
      <c r="AE29" s="10" t="n">
        <f aca="false">IF(AND(AE$4&gt;=$C29,AE$4&lt;=$D29),$E29/Assumptions!$B$5,0)</f>
        <v>0</v>
      </c>
      <c r="AF29" s="10" t="n">
        <f aca="false">IF(AND(AF$4&gt;=$C29,AF$4&lt;=$D29),$E29/Assumptions!$B$5,0)</f>
        <v>0</v>
      </c>
      <c r="AG29" s="10" t="n">
        <f aca="false">IF(AND(AG$4&gt;=$C29,AG$4&lt;=$D29),$E29/Assumptions!$B$5,0)</f>
        <v>0</v>
      </c>
    </row>
    <row r="31" customFormat="false" ht="15" hidden="false" customHeight="false" outlineLevel="0" collapsed="false">
      <c r="A31" s="6" t="s">
        <v>79</v>
      </c>
    </row>
    <row r="32" customFormat="false" ht="15" hidden="false" customHeight="false" outlineLevel="0" collapsed="false">
      <c r="A32" s="0" t="s">
        <v>80</v>
      </c>
      <c r="B32" s="15" t="n">
        <f aca="false">D6+1</f>
        <v>15</v>
      </c>
      <c r="C32" s="15" t="n">
        <f aca="false">B32</f>
        <v>15</v>
      </c>
      <c r="D32" s="15" t="n">
        <f aca="false">C32+Assumptions!$B$5-1</f>
        <v>26</v>
      </c>
      <c r="E32" s="10" t="n">
        <f aca="false">G32+H32-I32</f>
        <v>185533.333333333</v>
      </c>
      <c r="F32" s="10" t="n">
        <f aca="false">E6*Assumptions!$B$26</f>
        <v>22000</v>
      </c>
      <c r="G32" s="10" t="n">
        <f aca="false">E6-F32</f>
        <v>161333.333333333</v>
      </c>
      <c r="H32" s="10" t="n">
        <f aca="false">G32*Assumptions!$B$27</f>
        <v>29040</v>
      </c>
      <c r="I32" s="10" t="n">
        <f aca="false">G32*Assumptions!$B$28</f>
        <v>4840</v>
      </c>
      <c r="J32" s="10" t="n">
        <f aca="false">IF(AND(J$4&gt;=$C32,J$4&lt;=$D32),$E32/Assumptions!$B$5,0)</f>
        <v>0</v>
      </c>
      <c r="K32" s="10" t="n">
        <f aca="false">IF(AND(K$4&gt;=$C32,K$4&lt;=$D32),$E32/Assumptions!$B$5,0)</f>
        <v>0</v>
      </c>
      <c r="L32" s="10" t="n">
        <f aca="false">IF(AND(L$4&gt;=$C32,L$4&lt;=$D32),$E32/Assumptions!$B$5,0)</f>
        <v>0</v>
      </c>
      <c r="M32" s="10" t="n">
        <f aca="false">IF(AND(M$4&gt;=$C32,M$4&lt;=$D32),$E32/Assumptions!$B$5,0)</f>
        <v>0</v>
      </c>
      <c r="N32" s="10" t="n">
        <f aca="false">IF(AND(N$4&gt;=$C32,N$4&lt;=$D32),$E32/Assumptions!$B$5,0)</f>
        <v>0</v>
      </c>
      <c r="O32" s="10" t="n">
        <f aca="false">IF(AND(O$4&gt;=$C32,O$4&lt;=$D32),$E32/Assumptions!$B$5,0)</f>
        <v>0</v>
      </c>
      <c r="P32" s="10" t="n">
        <f aca="false">IF(AND(P$4&gt;=$C32,P$4&lt;=$D32),$E32/Assumptions!$B$5,0)</f>
        <v>0</v>
      </c>
      <c r="Q32" s="10" t="n">
        <f aca="false">IF(AND(Q$4&gt;=$C32,Q$4&lt;=$D32),$E32/Assumptions!$B$5,0)</f>
        <v>0</v>
      </c>
      <c r="R32" s="10" t="n">
        <f aca="false">IF(AND(R$4&gt;=$C32,R$4&lt;=$D32),$E32/Assumptions!$B$5,0)</f>
        <v>0</v>
      </c>
      <c r="S32" s="10" t="n">
        <f aca="false">IF(AND(S$4&gt;=$C32,S$4&lt;=$D32),$E32/Assumptions!$B$5,0)</f>
        <v>0</v>
      </c>
      <c r="T32" s="10" t="n">
        <f aca="false">IF(AND(T$4&gt;=$C32,T$4&lt;=$D32),$E32/Assumptions!$B$5,0)</f>
        <v>0</v>
      </c>
      <c r="U32" s="10" t="n">
        <f aca="false">IF(AND(U$4&gt;=$C32,U$4&lt;=$D32),$E32/Assumptions!$B$5,0)</f>
        <v>0</v>
      </c>
      <c r="V32" s="10" t="n">
        <f aca="false">IF(AND(V$4&gt;=$C32,V$4&lt;=$D32),$E32/Assumptions!$B$5,0)</f>
        <v>0</v>
      </c>
      <c r="W32" s="10" t="n">
        <f aca="false">IF(AND(W$4&gt;=$C32,W$4&lt;=$D32),$E32/Assumptions!$B$5,0)</f>
        <v>0</v>
      </c>
      <c r="X32" s="10" t="n">
        <f aca="false">IF(AND(X$4&gt;=$C32,X$4&lt;=$D32),$E32/Assumptions!$B$5,0)</f>
        <v>15461.1111111111</v>
      </c>
      <c r="Y32" s="10" t="n">
        <f aca="false">IF(AND(Y$4&gt;=$C32,Y$4&lt;=$D32),$E32/Assumptions!$B$5,0)</f>
        <v>15461.1111111111</v>
      </c>
      <c r="Z32" s="10" t="n">
        <f aca="false">IF(AND(Z$4&gt;=$C32,Z$4&lt;=$D32),$E32/Assumptions!$B$5,0)</f>
        <v>15461.1111111111</v>
      </c>
      <c r="AA32" s="10" t="n">
        <f aca="false">IF(AND(AA$4&gt;=$C32,AA$4&lt;=$D32),$E32/Assumptions!$B$5,0)</f>
        <v>15461.1111111111</v>
      </c>
      <c r="AB32" s="10" t="n">
        <f aca="false">IF(AND(AB$4&gt;=$C32,AB$4&lt;=$D32),$E32/Assumptions!$B$5,0)</f>
        <v>15461.1111111111</v>
      </c>
      <c r="AC32" s="10" t="n">
        <f aca="false">IF(AND(AC$4&gt;=$C32,AC$4&lt;=$D32),$E32/Assumptions!$B$5,0)</f>
        <v>15461.1111111111</v>
      </c>
      <c r="AD32" s="10" t="n">
        <f aca="false">IF(AND(AD$4&gt;=$C32,AD$4&lt;=$D32),$E32/Assumptions!$B$5,0)</f>
        <v>15461.1111111111</v>
      </c>
      <c r="AE32" s="10" t="n">
        <f aca="false">IF(AND(AE$4&gt;=$C32,AE$4&lt;=$D32),$E32/Assumptions!$B$5,0)</f>
        <v>15461.1111111111</v>
      </c>
      <c r="AF32" s="10" t="n">
        <f aca="false">IF(AND(AF$4&gt;=$C32,AF$4&lt;=$D32),$E32/Assumptions!$B$5,0)</f>
        <v>15461.1111111111</v>
      </c>
      <c r="AG32" s="10" t="n">
        <f aca="false">IF(AND(AG$4&gt;=$C32,AG$4&lt;=$D32),$E32/Assumptions!$B$5,0)</f>
        <v>15461.1111111111</v>
      </c>
    </row>
    <row r="33" customFormat="false" ht="15" hidden="false" customHeight="false" outlineLevel="0" collapsed="false">
      <c r="A33" s="0" t="s">
        <v>81</v>
      </c>
      <c r="B33" s="15" t="n">
        <f aca="false">D7+1</f>
        <v>16</v>
      </c>
      <c r="C33" s="15" t="n">
        <f aca="false">B33</f>
        <v>16</v>
      </c>
      <c r="D33" s="15" t="n">
        <f aca="false">C33+Assumptions!$B$5-1</f>
        <v>27</v>
      </c>
      <c r="E33" s="10" t="n">
        <f aca="false">G33+H33-I33</f>
        <v>185533.333333333</v>
      </c>
      <c r="F33" s="10" t="n">
        <f aca="false">E7*Assumptions!$B$26</f>
        <v>22000</v>
      </c>
      <c r="G33" s="10" t="n">
        <f aca="false">E7-F33</f>
        <v>161333.333333333</v>
      </c>
      <c r="H33" s="10" t="n">
        <f aca="false">G33*Assumptions!$B$27</f>
        <v>29040</v>
      </c>
      <c r="I33" s="10" t="n">
        <f aca="false">G33*Assumptions!$B$28</f>
        <v>4840</v>
      </c>
      <c r="J33" s="10" t="n">
        <f aca="false">IF(AND(J$4&gt;=$C33,J$4&lt;=$D33),$E33/Assumptions!$B$5,0)</f>
        <v>0</v>
      </c>
      <c r="K33" s="10" t="n">
        <f aca="false">IF(AND(K$4&gt;=$C33,K$4&lt;=$D33),$E33/Assumptions!$B$5,0)</f>
        <v>0</v>
      </c>
      <c r="L33" s="10" t="n">
        <f aca="false">IF(AND(L$4&gt;=$C33,L$4&lt;=$D33),$E33/Assumptions!$B$5,0)</f>
        <v>0</v>
      </c>
      <c r="M33" s="10" t="n">
        <f aca="false">IF(AND(M$4&gt;=$C33,M$4&lt;=$D33),$E33/Assumptions!$B$5,0)</f>
        <v>0</v>
      </c>
      <c r="N33" s="10" t="n">
        <f aca="false">IF(AND(N$4&gt;=$C33,N$4&lt;=$D33),$E33/Assumptions!$B$5,0)</f>
        <v>0</v>
      </c>
      <c r="O33" s="10" t="n">
        <f aca="false">IF(AND(O$4&gt;=$C33,O$4&lt;=$D33),$E33/Assumptions!$B$5,0)</f>
        <v>0</v>
      </c>
      <c r="P33" s="10" t="n">
        <f aca="false">IF(AND(P$4&gt;=$C33,P$4&lt;=$D33),$E33/Assumptions!$B$5,0)</f>
        <v>0</v>
      </c>
      <c r="Q33" s="10" t="n">
        <f aca="false">IF(AND(Q$4&gt;=$C33,Q$4&lt;=$D33),$E33/Assumptions!$B$5,0)</f>
        <v>0</v>
      </c>
      <c r="R33" s="10" t="n">
        <f aca="false">IF(AND(R$4&gt;=$C33,R$4&lt;=$D33),$E33/Assumptions!$B$5,0)</f>
        <v>0</v>
      </c>
      <c r="S33" s="10" t="n">
        <f aca="false">IF(AND(S$4&gt;=$C33,S$4&lt;=$D33),$E33/Assumptions!$B$5,0)</f>
        <v>0</v>
      </c>
      <c r="T33" s="10" t="n">
        <f aca="false">IF(AND(T$4&gt;=$C33,T$4&lt;=$D33),$E33/Assumptions!$B$5,0)</f>
        <v>0</v>
      </c>
      <c r="U33" s="10" t="n">
        <f aca="false">IF(AND(U$4&gt;=$C33,U$4&lt;=$D33),$E33/Assumptions!$B$5,0)</f>
        <v>0</v>
      </c>
      <c r="V33" s="10" t="n">
        <f aca="false">IF(AND(V$4&gt;=$C33,V$4&lt;=$D33),$E33/Assumptions!$B$5,0)</f>
        <v>0</v>
      </c>
      <c r="W33" s="10" t="n">
        <f aca="false">IF(AND(W$4&gt;=$C33,W$4&lt;=$D33),$E33/Assumptions!$B$5,0)</f>
        <v>0</v>
      </c>
      <c r="X33" s="10" t="n">
        <f aca="false">IF(AND(X$4&gt;=$C33,X$4&lt;=$D33),$E33/Assumptions!$B$5,0)</f>
        <v>0</v>
      </c>
      <c r="Y33" s="10" t="n">
        <f aca="false">IF(AND(Y$4&gt;=$C33,Y$4&lt;=$D33),$E33/Assumptions!$B$5,0)</f>
        <v>15461.1111111111</v>
      </c>
      <c r="Z33" s="10" t="n">
        <f aca="false">IF(AND(Z$4&gt;=$C33,Z$4&lt;=$D33),$E33/Assumptions!$B$5,0)</f>
        <v>15461.1111111111</v>
      </c>
      <c r="AA33" s="10" t="n">
        <f aca="false">IF(AND(AA$4&gt;=$C33,AA$4&lt;=$D33),$E33/Assumptions!$B$5,0)</f>
        <v>15461.1111111111</v>
      </c>
      <c r="AB33" s="10" t="n">
        <f aca="false">IF(AND(AB$4&gt;=$C33,AB$4&lt;=$D33),$E33/Assumptions!$B$5,0)</f>
        <v>15461.1111111111</v>
      </c>
      <c r="AC33" s="10" t="n">
        <f aca="false">IF(AND(AC$4&gt;=$C33,AC$4&lt;=$D33),$E33/Assumptions!$B$5,0)</f>
        <v>15461.1111111111</v>
      </c>
      <c r="AD33" s="10" t="n">
        <f aca="false">IF(AND(AD$4&gt;=$C33,AD$4&lt;=$D33),$E33/Assumptions!$B$5,0)</f>
        <v>15461.1111111111</v>
      </c>
      <c r="AE33" s="10" t="n">
        <f aca="false">IF(AND(AE$4&gt;=$C33,AE$4&lt;=$D33),$E33/Assumptions!$B$5,0)</f>
        <v>15461.1111111111</v>
      </c>
      <c r="AF33" s="10" t="n">
        <f aca="false">IF(AND(AF$4&gt;=$C33,AF$4&lt;=$D33),$E33/Assumptions!$B$5,0)</f>
        <v>15461.1111111111</v>
      </c>
      <c r="AG33" s="10" t="n">
        <f aca="false">IF(AND(AG$4&gt;=$C33,AG$4&lt;=$D33),$E33/Assumptions!$B$5,0)</f>
        <v>15461.1111111111</v>
      </c>
    </row>
    <row r="34" customFormat="false" ht="15" hidden="false" customHeight="false" outlineLevel="0" collapsed="false">
      <c r="A34" s="0" t="s">
        <v>82</v>
      </c>
      <c r="B34" s="15" t="n">
        <f aca="false">D8+1</f>
        <v>17</v>
      </c>
      <c r="C34" s="15" t="n">
        <f aca="false">B34</f>
        <v>17</v>
      </c>
      <c r="D34" s="15" t="n">
        <f aca="false">C34+Assumptions!$B$5-1</f>
        <v>28</v>
      </c>
      <c r="E34" s="10" t="n">
        <f aca="false">G34+H34-I34</f>
        <v>185533.333333333</v>
      </c>
      <c r="F34" s="10" t="n">
        <f aca="false">E8*Assumptions!$B$26</f>
        <v>22000</v>
      </c>
      <c r="G34" s="10" t="n">
        <f aca="false">E8-F34</f>
        <v>161333.333333333</v>
      </c>
      <c r="H34" s="10" t="n">
        <f aca="false">G34*Assumptions!$B$27</f>
        <v>29040</v>
      </c>
      <c r="I34" s="10" t="n">
        <f aca="false">G34*Assumptions!$B$28</f>
        <v>4840</v>
      </c>
      <c r="J34" s="10" t="n">
        <f aca="false">IF(AND(J$4&gt;=$C34,J$4&lt;=$D34),$E34/Assumptions!$B$5,0)</f>
        <v>0</v>
      </c>
      <c r="K34" s="10" t="n">
        <f aca="false">IF(AND(K$4&gt;=$C34,K$4&lt;=$D34),$E34/Assumptions!$B$5,0)</f>
        <v>0</v>
      </c>
      <c r="L34" s="10" t="n">
        <f aca="false">IF(AND(L$4&gt;=$C34,L$4&lt;=$D34),$E34/Assumptions!$B$5,0)</f>
        <v>0</v>
      </c>
      <c r="M34" s="10" t="n">
        <f aca="false">IF(AND(M$4&gt;=$C34,M$4&lt;=$D34),$E34/Assumptions!$B$5,0)</f>
        <v>0</v>
      </c>
      <c r="N34" s="10" t="n">
        <f aca="false">IF(AND(N$4&gt;=$C34,N$4&lt;=$D34),$E34/Assumptions!$B$5,0)</f>
        <v>0</v>
      </c>
      <c r="O34" s="10" t="n">
        <f aca="false">IF(AND(O$4&gt;=$C34,O$4&lt;=$D34),$E34/Assumptions!$B$5,0)</f>
        <v>0</v>
      </c>
      <c r="P34" s="10" t="n">
        <f aca="false">IF(AND(P$4&gt;=$C34,P$4&lt;=$D34),$E34/Assumptions!$B$5,0)</f>
        <v>0</v>
      </c>
      <c r="Q34" s="10" t="n">
        <f aca="false">IF(AND(Q$4&gt;=$C34,Q$4&lt;=$D34),$E34/Assumptions!$B$5,0)</f>
        <v>0</v>
      </c>
      <c r="R34" s="10" t="n">
        <f aca="false">IF(AND(R$4&gt;=$C34,R$4&lt;=$D34),$E34/Assumptions!$B$5,0)</f>
        <v>0</v>
      </c>
      <c r="S34" s="10" t="n">
        <f aca="false">IF(AND(S$4&gt;=$C34,S$4&lt;=$D34),$E34/Assumptions!$B$5,0)</f>
        <v>0</v>
      </c>
      <c r="T34" s="10" t="n">
        <f aca="false">IF(AND(T$4&gt;=$C34,T$4&lt;=$D34),$E34/Assumptions!$B$5,0)</f>
        <v>0</v>
      </c>
      <c r="U34" s="10" t="n">
        <f aca="false">IF(AND(U$4&gt;=$C34,U$4&lt;=$D34),$E34/Assumptions!$B$5,0)</f>
        <v>0</v>
      </c>
      <c r="V34" s="10" t="n">
        <f aca="false">IF(AND(V$4&gt;=$C34,V$4&lt;=$D34),$E34/Assumptions!$B$5,0)</f>
        <v>0</v>
      </c>
      <c r="W34" s="10" t="n">
        <f aca="false">IF(AND(W$4&gt;=$C34,W$4&lt;=$D34),$E34/Assumptions!$B$5,0)</f>
        <v>0</v>
      </c>
      <c r="X34" s="10" t="n">
        <f aca="false">IF(AND(X$4&gt;=$C34,X$4&lt;=$D34),$E34/Assumptions!$B$5,0)</f>
        <v>0</v>
      </c>
      <c r="Y34" s="10" t="n">
        <f aca="false">IF(AND(Y$4&gt;=$C34,Y$4&lt;=$D34),$E34/Assumptions!$B$5,0)</f>
        <v>0</v>
      </c>
      <c r="Z34" s="10" t="n">
        <f aca="false">IF(AND(Z$4&gt;=$C34,Z$4&lt;=$D34),$E34/Assumptions!$B$5,0)</f>
        <v>15461.1111111111</v>
      </c>
      <c r="AA34" s="10" t="n">
        <f aca="false">IF(AND(AA$4&gt;=$C34,AA$4&lt;=$D34),$E34/Assumptions!$B$5,0)</f>
        <v>15461.1111111111</v>
      </c>
      <c r="AB34" s="10" t="n">
        <f aca="false">IF(AND(AB$4&gt;=$C34,AB$4&lt;=$D34),$E34/Assumptions!$B$5,0)</f>
        <v>15461.1111111111</v>
      </c>
      <c r="AC34" s="10" t="n">
        <f aca="false">IF(AND(AC$4&gt;=$C34,AC$4&lt;=$D34),$E34/Assumptions!$B$5,0)</f>
        <v>15461.1111111111</v>
      </c>
      <c r="AD34" s="10" t="n">
        <f aca="false">IF(AND(AD$4&gt;=$C34,AD$4&lt;=$D34),$E34/Assumptions!$B$5,0)</f>
        <v>15461.1111111111</v>
      </c>
      <c r="AE34" s="10" t="n">
        <f aca="false">IF(AND(AE$4&gt;=$C34,AE$4&lt;=$D34),$E34/Assumptions!$B$5,0)</f>
        <v>15461.1111111111</v>
      </c>
      <c r="AF34" s="10" t="n">
        <f aca="false">IF(AND(AF$4&gt;=$C34,AF$4&lt;=$D34),$E34/Assumptions!$B$5,0)</f>
        <v>15461.1111111111</v>
      </c>
      <c r="AG34" s="10" t="n">
        <f aca="false">IF(AND(AG$4&gt;=$C34,AG$4&lt;=$D34),$E34/Assumptions!$B$5,0)</f>
        <v>15461.1111111111</v>
      </c>
    </row>
    <row r="35" customFormat="false" ht="15" hidden="false" customHeight="false" outlineLevel="0" collapsed="false">
      <c r="A35" s="0" t="s">
        <v>83</v>
      </c>
      <c r="B35" s="15" t="n">
        <f aca="false">D9+1</f>
        <v>18</v>
      </c>
      <c r="C35" s="15" t="n">
        <f aca="false">B35</f>
        <v>18</v>
      </c>
      <c r="D35" s="15" t="n">
        <f aca="false">C35+Assumptions!$B$5-1</f>
        <v>29</v>
      </c>
      <c r="E35" s="10" t="n">
        <f aca="false">G35+H35-I35</f>
        <v>216146.333333333</v>
      </c>
      <c r="F35" s="10" t="n">
        <f aca="false">E9*Assumptions!$B$26</f>
        <v>25630</v>
      </c>
      <c r="G35" s="10" t="n">
        <f aca="false">E9-F35</f>
        <v>187953.333333333</v>
      </c>
      <c r="H35" s="10" t="n">
        <f aca="false">G35*Assumptions!$B$27</f>
        <v>33831.6</v>
      </c>
      <c r="I35" s="10" t="n">
        <f aca="false">G35*Assumptions!$B$28</f>
        <v>5638.6</v>
      </c>
      <c r="J35" s="10" t="n">
        <f aca="false">IF(AND(J$4&gt;=$C35,J$4&lt;=$D35),$E35/Assumptions!$B$5,0)</f>
        <v>0</v>
      </c>
      <c r="K35" s="10" t="n">
        <f aca="false">IF(AND(K$4&gt;=$C35,K$4&lt;=$D35),$E35/Assumptions!$B$5,0)</f>
        <v>0</v>
      </c>
      <c r="L35" s="10" t="n">
        <f aca="false">IF(AND(L$4&gt;=$C35,L$4&lt;=$D35),$E35/Assumptions!$B$5,0)</f>
        <v>0</v>
      </c>
      <c r="M35" s="10" t="n">
        <f aca="false">IF(AND(M$4&gt;=$C35,M$4&lt;=$D35),$E35/Assumptions!$B$5,0)</f>
        <v>0</v>
      </c>
      <c r="N35" s="10" t="n">
        <f aca="false">IF(AND(N$4&gt;=$C35,N$4&lt;=$D35),$E35/Assumptions!$B$5,0)</f>
        <v>0</v>
      </c>
      <c r="O35" s="10" t="n">
        <f aca="false">IF(AND(O$4&gt;=$C35,O$4&lt;=$D35),$E35/Assumptions!$B$5,0)</f>
        <v>0</v>
      </c>
      <c r="P35" s="10" t="n">
        <f aca="false">IF(AND(P$4&gt;=$C35,P$4&lt;=$D35),$E35/Assumptions!$B$5,0)</f>
        <v>0</v>
      </c>
      <c r="Q35" s="10" t="n">
        <f aca="false">IF(AND(Q$4&gt;=$C35,Q$4&lt;=$D35),$E35/Assumptions!$B$5,0)</f>
        <v>0</v>
      </c>
      <c r="R35" s="10" t="n">
        <f aca="false">IF(AND(R$4&gt;=$C35,R$4&lt;=$D35),$E35/Assumptions!$B$5,0)</f>
        <v>0</v>
      </c>
      <c r="S35" s="10" t="n">
        <f aca="false">IF(AND(S$4&gt;=$C35,S$4&lt;=$D35),$E35/Assumptions!$B$5,0)</f>
        <v>0</v>
      </c>
      <c r="T35" s="10" t="n">
        <f aca="false">IF(AND(T$4&gt;=$C35,T$4&lt;=$D35),$E35/Assumptions!$B$5,0)</f>
        <v>0</v>
      </c>
      <c r="U35" s="10" t="n">
        <f aca="false">IF(AND(U$4&gt;=$C35,U$4&lt;=$D35),$E35/Assumptions!$B$5,0)</f>
        <v>0</v>
      </c>
      <c r="V35" s="10" t="n">
        <f aca="false">IF(AND(V$4&gt;=$C35,V$4&lt;=$D35),$E35/Assumptions!$B$5,0)</f>
        <v>0</v>
      </c>
      <c r="W35" s="10" t="n">
        <f aca="false">IF(AND(W$4&gt;=$C35,W$4&lt;=$D35),$E35/Assumptions!$B$5,0)</f>
        <v>0</v>
      </c>
      <c r="X35" s="10" t="n">
        <f aca="false">IF(AND(X$4&gt;=$C35,X$4&lt;=$D35),$E35/Assumptions!$B$5,0)</f>
        <v>0</v>
      </c>
      <c r="Y35" s="10" t="n">
        <f aca="false">IF(AND(Y$4&gt;=$C35,Y$4&lt;=$D35),$E35/Assumptions!$B$5,0)</f>
        <v>0</v>
      </c>
      <c r="Z35" s="10" t="n">
        <f aca="false">IF(AND(Z$4&gt;=$C35,Z$4&lt;=$D35),$E35/Assumptions!$B$5,0)</f>
        <v>0</v>
      </c>
      <c r="AA35" s="10" t="n">
        <f aca="false">IF(AND(AA$4&gt;=$C35,AA$4&lt;=$D35),$E35/Assumptions!$B$5,0)</f>
        <v>18012.1944444444</v>
      </c>
      <c r="AB35" s="10" t="n">
        <f aca="false">IF(AND(AB$4&gt;=$C35,AB$4&lt;=$D35),$E35/Assumptions!$B$5,0)</f>
        <v>18012.1944444444</v>
      </c>
      <c r="AC35" s="10" t="n">
        <f aca="false">IF(AND(AC$4&gt;=$C35,AC$4&lt;=$D35),$E35/Assumptions!$B$5,0)</f>
        <v>18012.1944444444</v>
      </c>
      <c r="AD35" s="10" t="n">
        <f aca="false">IF(AND(AD$4&gt;=$C35,AD$4&lt;=$D35),$E35/Assumptions!$B$5,0)</f>
        <v>18012.1944444444</v>
      </c>
      <c r="AE35" s="10" t="n">
        <f aca="false">IF(AND(AE$4&gt;=$C35,AE$4&lt;=$D35),$E35/Assumptions!$B$5,0)</f>
        <v>18012.1944444444</v>
      </c>
      <c r="AF35" s="10" t="n">
        <f aca="false">IF(AND(AF$4&gt;=$C35,AF$4&lt;=$D35),$E35/Assumptions!$B$5,0)</f>
        <v>18012.1944444444</v>
      </c>
      <c r="AG35" s="10" t="n">
        <f aca="false">IF(AND(AG$4&gt;=$C35,AG$4&lt;=$D35),$E35/Assumptions!$B$5,0)</f>
        <v>18012.1944444444</v>
      </c>
    </row>
    <row r="36" customFormat="false" ht="15" hidden="false" customHeight="false" outlineLevel="0" collapsed="false">
      <c r="A36" s="0" t="s">
        <v>84</v>
      </c>
      <c r="B36" s="15" t="n">
        <f aca="false">D10+1</f>
        <v>19</v>
      </c>
      <c r="C36" s="15" t="n">
        <f aca="false">B36</f>
        <v>19</v>
      </c>
      <c r="D36" s="15" t="n">
        <f aca="false">C36+Assumptions!$B$5-1</f>
        <v>30</v>
      </c>
      <c r="E36" s="10" t="n">
        <f aca="false">G36+H36-I36</f>
        <v>246759.333333333</v>
      </c>
      <c r="F36" s="10" t="n">
        <f aca="false">E10*Assumptions!$B$26</f>
        <v>29260</v>
      </c>
      <c r="G36" s="10" t="n">
        <f aca="false">E10-F36</f>
        <v>214573.333333333</v>
      </c>
      <c r="H36" s="10" t="n">
        <f aca="false">G36*Assumptions!$B$27</f>
        <v>38623.2</v>
      </c>
      <c r="I36" s="10" t="n">
        <f aca="false">G36*Assumptions!$B$28</f>
        <v>6437.2</v>
      </c>
      <c r="J36" s="10" t="n">
        <f aca="false">IF(AND(J$4&gt;=$C36,J$4&lt;=$D36),$E36/Assumptions!$B$5,0)</f>
        <v>0</v>
      </c>
      <c r="K36" s="10" t="n">
        <f aca="false">IF(AND(K$4&gt;=$C36,K$4&lt;=$D36),$E36/Assumptions!$B$5,0)</f>
        <v>0</v>
      </c>
      <c r="L36" s="10" t="n">
        <f aca="false">IF(AND(L$4&gt;=$C36,L$4&lt;=$D36),$E36/Assumptions!$B$5,0)</f>
        <v>0</v>
      </c>
      <c r="M36" s="10" t="n">
        <f aca="false">IF(AND(M$4&gt;=$C36,M$4&lt;=$D36),$E36/Assumptions!$B$5,0)</f>
        <v>0</v>
      </c>
      <c r="N36" s="10" t="n">
        <f aca="false">IF(AND(N$4&gt;=$C36,N$4&lt;=$D36),$E36/Assumptions!$B$5,0)</f>
        <v>0</v>
      </c>
      <c r="O36" s="10" t="n">
        <f aca="false">IF(AND(O$4&gt;=$C36,O$4&lt;=$D36),$E36/Assumptions!$B$5,0)</f>
        <v>0</v>
      </c>
      <c r="P36" s="10" t="n">
        <f aca="false">IF(AND(P$4&gt;=$C36,P$4&lt;=$D36),$E36/Assumptions!$B$5,0)</f>
        <v>0</v>
      </c>
      <c r="Q36" s="10" t="n">
        <f aca="false">IF(AND(Q$4&gt;=$C36,Q$4&lt;=$D36),$E36/Assumptions!$B$5,0)</f>
        <v>0</v>
      </c>
      <c r="R36" s="10" t="n">
        <f aca="false">IF(AND(R$4&gt;=$C36,R$4&lt;=$D36),$E36/Assumptions!$B$5,0)</f>
        <v>0</v>
      </c>
      <c r="S36" s="10" t="n">
        <f aca="false">IF(AND(S$4&gt;=$C36,S$4&lt;=$D36),$E36/Assumptions!$B$5,0)</f>
        <v>0</v>
      </c>
      <c r="T36" s="10" t="n">
        <f aca="false">IF(AND(T$4&gt;=$C36,T$4&lt;=$D36),$E36/Assumptions!$B$5,0)</f>
        <v>0</v>
      </c>
      <c r="U36" s="10" t="n">
        <f aca="false">IF(AND(U$4&gt;=$C36,U$4&lt;=$D36),$E36/Assumptions!$B$5,0)</f>
        <v>0</v>
      </c>
      <c r="V36" s="10" t="n">
        <f aca="false">IF(AND(V$4&gt;=$C36,V$4&lt;=$D36),$E36/Assumptions!$B$5,0)</f>
        <v>0</v>
      </c>
      <c r="W36" s="10" t="n">
        <f aca="false">IF(AND(W$4&gt;=$C36,W$4&lt;=$D36),$E36/Assumptions!$B$5,0)</f>
        <v>0</v>
      </c>
      <c r="X36" s="10" t="n">
        <f aca="false">IF(AND(X$4&gt;=$C36,X$4&lt;=$D36),$E36/Assumptions!$B$5,0)</f>
        <v>0</v>
      </c>
      <c r="Y36" s="10" t="n">
        <f aca="false">IF(AND(Y$4&gt;=$C36,Y$4&lt;=$D36),$E36/Assumptions!$B$5,0)</f>
        <v>0</v>
      </c>
      <c r="Z36" s="10" t="n">
        <f aca="false">IF(AND(Z$4&gt;=$C36,Z$4&lt;=$D36),$E36/Assumptions!$B$5,0)</f>
        <v>0</v>
      </c>
      <c r="AA36" s="10" t="n">
        <f aca="false">IF(AND(AA$4&gt;=$C36,AA$4&lt;=$D36),$E36/Assumptions!$B$5,0)</f>
        <v>0</v>
      </c>
      <c r="AB36" s="10" t="n">
        <f aca="false">IF(AND(AB$4&gt;=$C36,AB$4&lt;=$D36),$E36/Assumptions!$B$5,0)</f>
        <v>20563.2777777778</v>
      </c>
      <c r="AC36" s="10" t="n">
        <f aca="false">IF(AND(AC$4&gt;=$C36,AC$4&lt;=$D36),$E36/Assumptions!$B$5,0)</f>
        <v>20563.2777777778</v>
      </c>
      <c r="AD36" s="10" t="n">
        <f aca="false">IF(AND(AD$4&gt;=$C36,AD$4&lt;=$D36),$E36/Assumptions!$B$5,0)</f>
        <v>20563.2777777778</v>
      </c>
      <c r="AE36" s="10" t="n">
        <f aca="false">IF(AND(AE$4&gt;=$C36,AE$4&lt;=$D36),$E36/Assumptions!$B$5,0)</f>
        <v>20563.2777777778</v>
      </c>
      <c r="AF36" s="10" t="n">
        <f aca="false">IF(AND(AF$4&gt;=$C36,AF$4&lt;=$D36),$E36/Assumptions!$B$5,0)</f>
        <v>20563.2777777778</v>
      </c>
      <c r="AG36" s="10" t="n">
        <f aca="false">IF(AND(AG$4&gt;=$C36,AG$4&lt;=$D36),$E36/Assumptions!$B$5,0)</f>
        <v>20563.2777777778</v>
      </c>
    </row>
    <row r="37" customFormat="false" ht="15" hidden="false" customHeight="false" outlineLevel="0" collapsed="false">
      <c r="A37" s="0" t="s">
        <v>85</v>
      </c>
      <c r="B37" s="15" t="n">
        <f aca="false">D11+1</f>
        <v>20</v>
      </c>
      <c r="C37" s="15" t="n">
        <f aca="false">B37</f>
        <v>20</v>
      </c>
      <c r="D37" s="15" t="n">
        <f aca="false">C37+Assumptions!$B$5-1</f>
        <v>31</v>
      </c>
      <c r="E37" s="10" t="n">
        <f aca="false">G37+H37-I37</f>
        <v>252747</v>
      </c>
      <c r="F37" s="10" t="n">
        <f aca="false">E11*Assumptions!$B$26</f>
        <v>29970</v>
      </c>
      <c r="G37" s="10" t="n">
        <f aca="false">E11-F37</f>
        <v>219780</v>
      </c>
      <c r="H37" s="10" t="n">
        <f aca="false">G37*Assumptions!$B$27</f>
        <v>39560.4</v>
      </c>
      <c r="I37" s="10" t="n">
        <f aca="false">G37*Assumptions!$B$28</f>
        <v>6593.4</v>
      </c>
      <c r="J37" s="10" t="n">
        <f aca="false">IF(AND(J$4&gt;=$C37,J$4&lt;=$D37),$E37/Assumptions!$B$5,0)</f>
        <v>0</v>
      </c>
      <c r="K37" s="10" t="n">
        <f aca="false">IF(AND(K$4&gt;=$C37,K$4&lt;=$D37),$E37/Assumptions!$B$5,0)</f>
        <v>0</v>
      </c>
      <c r="L37" s="10" t="n">
        <f aca="false">IF(AND(L$4&gt;=$C37,L$4&lt;=$D37),$E37/Assumptions!$B$5,0)</f>
        <v>0</v>
      </c>
      <c r="M37" s="10" t="n">
        <f aca="false">IF(AND(M$4&gt;=$C37,M$4&lt;=$D37),$E37/Assumptions!$B$5,0)</f>
        <v>0</v>
      </c>
      <c r="N37" s="10" t="n">
        <f aca="false">IF(AND(N$4&gt;=$C37,N$4&lt;=$D37),$E37/Assumptions!$B$5,0)</f>
        <v>0</v>
      </c>
      <c r="O37" s="10" t="n">
        <f aca="false">IF(AND(O$4&gt;=$C37,O$4&lt;=$D37),$E37/Assumptions!$B$5,0)</f>
        <v>0</v>
      </c>
      <c r="P37" s="10" t="n">
        <f aca="false">IF(AND(P$4&gt;=$C37,P$4&lt;=$D37),$E37/Assumptions!$B$5,0)</f>
        <v>0</v>
      </c>
      <c r="Q37" s="10" t="n">
        <f aca="false">IF(AND(Q$4&gt;=$C37,Q$4&lt;=$D37),$E37/Assumptions!$B$5,0)</f>
        <v>0</v>
      </c>
      <c r="R37" s="10" t="n">
        <f aca="false">IF(AND(R$4&gt;=$C37,R$4&lt;=$D37),$E37/Assumptions!$B$5,0)</f>
        <v>0</v>
      </c>
      <c r="S37" s="10" t="n">
        <f aca="false">IF(AND(S$4&gt;=$C37,S$4&lt;=$D37),$E37/Assumptions!$B$5,0)</f>
        <v>0</v>
      </c>
      <c r="T37" s="10" t="n">
        <f aca="false">IF(AND(T$4&gt;=$C37,T$4&lt;=$D37),$E37/Assumptions!$B$5,0)</f>
        <v>0</v>
      </c>
      <c r="U37" s="10" t="n">
        <f aca="false">IF(AND(U$4&gt;=$C37,U$4&lt;=$D37),$E37/Assumptions!$B$5,0)</f>
        <v>0</v>
      </c>
      <c r="V37" s="10" t="n">
        <f aca="false">IF(AND(V$4&gt;=$C37,V$4&lt;=$D37),$E37/Assumptions!$B$5,0)</f>
        <v>0</v>
      </c>
      <c r="W37" s="10" t="n">
        <f aca="false">IF(AND(W$4&gt;=$C37,W$4&lt;=$D37),$E37/Assumptions!$B$5,0)</f>
        <v>0</v>
      </c>
      <c r="X37" s="10" t="n">
        <f aca="false">IF(AND(X$4&gt;=$C37,X$4&lt;=$D37),$E37/Assumptions!$B$5,0)</f>
        <v>0</v>
      </c>
      <c r="Y37" s="10" t="n">
        <f aca="false">IF(AND(Y$4&gt;=$C37,Y$4&lt;=$D37),$E37/Assumptions!$B$5,0)</f>
        <v>0</v>
      </c>
      <c r="Z37" s="10" t="n">
        <f aca="false">IF(AND(Z$4&gt;=$C37,Z$4&lt;=$D37),$E37/Assumptions!$B$5,0)</f>
        <v>0</v>
      </c>
      <c r="AA37" s="10" t="n">
        <f aca="false">IF(AND(AA$4&gt;=$C37,AA$4&lt;=$D37),$E37/Assumptions!$B$5,0)</f>
        <v>0</v>
      </c>
      <c r="AB37" s="10" t="n">
        <f aca="false">IF(AND(AB$4&gt;=$C37,AB$4&lt;=$D37),$E37/Assumptions!$B$5,0)</f>
        <v>0</v>
      </c>
      <c r="AC37" s="10" t="n">
        <f aca="false">IF(AND(AC$4&gt;=$C37,AC$4&lt;=$D37),$E37/Assumptions!$B$5,0)</f>
        <v>21062.25</v>
      </c>
      <c r="AD37" s="10" t="n">
        <f aca="false">IF(AND(AD$4&gt;=$C37,AD$4&lt;=$D37),$E37/Assumptions!$B$5,0)</f>
        <v>21062.25</v>
      </c>
      <c r="AE37" s="10" t="n">
        <f aca="false">IF(AND(AE$4&gt;=$C37,AE$4&lt;=$D37),$E37/Assumptions!$B$5,0)</f>
        <v>21062.25</v>
      </c>
      <c r="AF37" s="10" t="n">
        <f aca="false">IF(AND(AF$4&gt;=$C37,AF$4&lt;=$D37),$E37/Assumptions!$B$5,0)</f>
        <v>21062.25</v>
      </c>
      <c r="AG37" s="10" t="n">
        <f aca="false">IF(AND(AG$4&gt;=$C37,AG$4&lt;=$D37),$E37/Assumptions!$B$5,0)</f>
        <v>21062.25</v>
      </c>
    </row>
    <row r="38" customFormat="false" ht="15" hidden="false" customHeight="false" outlineLevel="0" collapsed="false">
      <c r="A38" s="0" t="s">
        <v>86</v>
      </c>
      <c r="B38" s="15" t="n">
        <f aca="false">D12+1</f>
        <v>21</v>
      </c>
      <c r="C38" s="15" t="n">
        <f aca="false">B38</f>
        <v>21</v>
      </c>
      <c r="D38" s="15" t="n">
        <f aca="false">C38+Assumptions!$B$5-1</f>
        <v>32</v>
      </c>
      <c r="E38" s="10" t="n">
        <f aca="false">G38+H38-I38</f>
        <v>252747</v>
      </c>
      <c r="F38" s="10" t="n">
        <f aca="false">E12*Assumptions!$B$26</f>
        <v>29970</v>
      </c>
      <c r="G38" s="10" t="n">
        <f aca="false">E12-F38</f>
        <v>219780</v>
      </c>
      <c r="H38" s="10" t="n">
        <f aca="false">G38*Assumptions!$B$27</f>
        <v>39560.4</v>
      </c>
      <c r="I38" s="10" t="n">
        <f aca="false">G38*Assumptions!$B$28</f>
        <v>6593.4</v>
      </c>
      <c r="J38" s="10" t="n">
        <f aca="false">IF(AND(J$4&gt;=$C38,J$4&lt;=$D38),$E38/Assumptions!$B$5,0)</f>
        <v>0</v>
      </c>
      <c r="K38" s="10" t="n">
        <f aca="false">IF(AND(K$4&gt;=$C38,K$4&lt;=$D38),$E38/Assumptions!$B$5,0)</f>
        <v>0</v>
      </c>
      <c r="L38" s="10" t="n">
        <f aca="false">IF(AND(L$4&gt;=$C38,L$4&lt;=$D38),$E38/Assumptions!$B$5,0)</f>
        <v>0</v>
      </c>
      <c r="M38" s="10" t="n">
        <f aca="false">IF(AND(M$4&gt;=$C38,M$4&lt;=$D38),$E38/Assumptions!$B$5,0)</f>
        <v>0</v>
      </c>
      <c r="N38" s="10" t="n">
        <f aca="false">IF(AND(N$4&gt;=$C38,N$4&lt;=$D38),$E38/Assumptions!$B$5,0)</f>
        <v>0</v>
      </c>
      <c r="O38" s="10" t="n">
        <f aca="false">IF(AND(O$4&gt;=$C38,O$4&lt;=$D38),$E38/Assumptions!$B$5,0)</f>
        <v>0</v>
      </c>
      <c r="P38" s="10" t="n">
        <f aca="false">IF(AND(P$4&gt;=$C38,P$4&lt;=$D38),$E38/Assumptions!$B$5,0)</f>
        <v>0</v>
      </c>
      <c r="Q38" s="10" t="n">
        <f aca="false">IF(AND(Q$4&gt;=$C38,Q$4&lt;=$D38),$E38/Assumptions!$B$5,0)</f>
        <v>0</v>
      </c>
      <c r="R38" s="10" t="n">
        <f aca="false">IF(AND(R$4&gt;=$C38,R$4&lt;=$D38),$E38/Assumptions!$B$5,0)</f>
        <v>0</v>
      </c>
      <c r="S38" s="10" t="n">
        <f aca="false">IF(AND(S$4&gt;=$C38,S$4&lt;=$D38),$E38/Assumptions!$B$5,0)</f>
        <v>0</v>
      </c>
      <c r="T38" s="10" t="n">
        <f aca="false">IF(AND(T$4&gt;=$C38,T$4&lt;=$D38),$E38/Assumptions!$B$5,0)</f>
        <v>0</v>
      </c>
      <c r="U38" s="10" t="n">
        <f aca="false">IF(AND(U$4&gt;=$C38,U$4&lt;=$D38),$E38/Assumptions!$B$5,0)</f>
        <v>0</v>
      </c>
      <c r="V38" s="10" t="n">
        <f aca="false">IF(AND(V$4&gt;=$C38,V$4&lt;=$D38),$E38/Assumptions!$B$5,0)</f>
        <v>0</v>
      </c>
      <c r="W38" s="10" t="n">
        <f aca="false">IF(AND(W$4&gt;=$C38,W$4&lt;=$D38),$E38/Assumptions!$B$5,0)</f>
        <v>0</v>
      </c>
      <c r="X38" s="10" t="n">
        <f aca="false">IF(AND(X$4&gt;=$C38,X$4&lt;=$D38),$E38/Assumptions!$B$5,0)</f>
        <v>0</v>
      </c>
      <c r="Y38" s="10" t="n">
        <f aca="false">IF(AND(Y$4&gt;=$C38,Y$4&lt;=$D38),$E38/Assumptions!$B$5,0)</f>
        <v>0</v>
      </c>
      <c r="Z38" s="10" t="n">
        <f aca="false">IF(AND(Z$4&gt;=$C38,Z$4&lt;=$D38),$E38/Assumptions!$B$5,0)</f>
        <v>0</v>
      </c>
      <c r="AA38" s="10" t="n">
        <f aca="false">IF(AND(AA$4&gt;=$C38,AA$4&lt;=$D38),$E38/Assumptions!$B$5,0)</f>
        <v>0</v>
      </c>
      <c r="AB38" s="10" t="n">
        <f aca="false">IF(AND(AB$4&gt;=$C38,AB$4&lt;=$D38),$E38/Assumptions!$B$5,0)</f>
        <v>0</v>
      </c>
      <c r="AC38" s="10" t="n">
        <f aca="false">IF(AND(AC$4&gt;=$C38,AC$4&lt;=$D38),$E38/Assumptions!$B$5,0)</f>
        <v>0</v>
      </c>
      <c r="AD38" s="10" t="n">
        <f aca="false">IF(AND(AD$4&gt;=$C38,AD$4&lt;=$D38),$E38/Assumptions!$B$5,0)</f>
        <v>21062.25</v>
      </c>
      <c r="AE38" s="10" t="n">
        <f aca="false">IF(AND(AE$4&gt;=$C38,AE$4&lt;=$D38),$E38/Assumptions!$B$5,0)</f>
        <v>21062.25</v>
      </c>
      <c r="AF38" s="10" t="n">
        <f aca="false">IF(AND(AF$4&gt;=$C38,AF$4&lt;=$D38),$E38/Assumptions!$B$5,0)</f>
        <v>21062.25</v>
      </c>
      <c r="AG38" s="10" t="n">
        <f aca="false">IF(AND(AG$4&gt;=$C38,AG$4&lt;=$D38),$E38/Assumptions!$B$5,0)</f>
        <v>21062.25</v>
      </c>
    </row>
    <row r="39" customFormat="false" ht="15" hidden="false" customHeight="false" outlineLevel="0" collapsed="false">
      <c r="A39" s="0" t="s">
        <v>87</v>
      </c>
      <c r="B39" s="15" t="n">
        <f aca="false">D13+1</f>
        <v>22</v>
      </c>
      <c r="C39" s="15" t="n">
        <f aca="false">B39</f>
        <v>22</v>
      </c>
      <c r="D39" s="15" t="n">
        <f aca="false">C39+Assumptions!$B$5-1</f>
        <v>33</v>
      </c>
      <c r="E39" s="10" t="n">
        <f aca="false">G39+H39-I39</f>
        <v>252747</v>
      </c>
      <c r="F39" s="10" t="n">
        <f aca="false">E13*Assumptions!$B$26</f>
        <v>29970</v>
      </c>
      <c r="G39" s="10" t="n">
        <f aca="false">E13-F39</f>
        <v>219780</v>
      </c>
      <c r="H39" s="10" t="n">
        <f aca="false">G39*Assumptions!$B$27</f>
        <v>39560.4</v>
      </c>
      <c r="I39" s="10" t="n">
        <f aca="false">G39*Assumptions!$B$28</f>
        <v>6593.4</v>
      </c>
      <c r="J39" s="10" t="n">
        <f aca="false">IF(AND(J$4&gt;=$C39,J$4&lt;=$D39),$E39/Assumptions!$B$5,0)</f>
        <v>0</v>
      </c>
      <c r="K39" s="10" t="n">
        <f aca="false">IF(AND(K$4&gt;=$C39,K$4&lt;=$D39),$E39/Assumptions!$B$5,0)</f>
        <v>0</v>
      </c>
      <c r="L39" s="10" t="n">
        <f aca="false">IF(AND(L$4&gt;=$C39,L$4&lt;=$D39),$E39/Assumptions!$B$5,0)</f>
        <v>0</v>
      </c>
      <c r="M39" s="10" t="n">
        <f aca="false">IF(AND(M$4&gt;=$C39,M$4&lt;=$D39),$E39/Assumptions!$B$5,0)</f>
        <v>0</v>
      </c>
      <c r="N39" s="10" t="n">
        <f aca="false">IF(AND(N$4&gt;=$C39,N$4&lt;=$D39),$E39/Assumptions!$B$5,0)</f>
        <v>0</v>
      </c>
      <c r="O39" s="10" t="n">
        <f aca="false">IF(AND(O$4&gt;=$C39,O$4&lt;=$D39),$E39/Assumptions!$B$5,0)</f>
        <v>0</v>
      </c>
      <c r="P39" s="10" t="n">
        <f aca="false">IF(AND(P$4&gt;=$C39,P$4&lt;=$D39),$E39/Assumptions!$B$5,0)</f>
        <v>0</v>
      </c>
      <c r="Q39" s="10" t="n">
        <f aca="false">IF(AND(Q$4&gt;=$C39,Q$4&lt;=$D39),$E39/Assumptions!$B$5,0)</f>
        <v>0</v>
      </c>
      <c r="R39" s="10" t="n">
        <f aca="false">IF(AND(R$4&gt;=$C39,R$4&lt;=$D39),$E39/Assumptions!$B$5,0)</f>
        <v>0</v>
      </c>
      <c r="S39" s="10" t="n">
        <f aca="false">IF(AND(S$4&gt;=$C39,S$4&lt;=$D39),$E39/Assumptions!$B$5,0)</f>
        <v>0</v>
      </c>
      <c r="T39" s="10" t="n">
        <f aca="false">IF(AND(T$4&gt;=$C39,T$4&lt;=$D39),$E39/Assumptions!$B$5,0)</f>
        <v>0</v>
      </c>
      <c r="U39" s="10" t="n">
        <f aca="false">IF(AND(U$4&gt;=$C39,U$4&lt;=$D39),$E39/Assumptions!$B$5,0)</f>
        <v>0</v>
      </c>
      <c r="V39" s="10" t="n">
        <f aca="false">IF(AND(V$4&gt;=$C39,V$4&lt;=$D39),$E39/Assumptions!$B$5,0)</f>
        <v>0</v>
      </c>
      <c r="W39" s="10" t="n">
        <f aca="false">IF(AND(W$4&gt;=$C39,W$4&lt;=$D39),$E39/Assumptions!$B$5,0)</f>
        <v>0</v>
      </c>
      <c r="X39" s="10" t="n">
        <f aca="false">IF(AND(X$4&gt;=$C39,X$4&lt;=$D39),$E39/Assumptions!$B$5,0)</f>
        <v>0</v>
      </c>
      <c r="Y39" s="10" t="n">
        <f aca="false">IF(AND(Y$4&gt;=$C39,Y$4&lt;=$D39),$E39/Assumptions!$B$5,0)</f>
        <v>0</v>
      </c>
      <c r="Z39" s="10" t="n">
        <f aca="false">IF(AND(Z$4&gt;=$C39,Z$4&lt;=$D39),$E39/Assumptions!$B$5,0)</f>
        <v>0</v>
      </c>
      <c r="AA39" s="10" t="n">
        <f aca="false">IF(AND(AA$4&gt;=$C39,AA$4&lt;=$D39),$E39/Assumptions!$B$5,0)</f>
        <v>0</v>
      </c>
      <c r="AB39" s="10" t="n">
        <f aca="false">IF(AND(AB$4&gt;=$C39,AB$4&lt;=$D39),$E39/Assumptions!$B$5,0)</f>
        <v>0</v>
      </c>
      <c r="AC39" s="10" t="n">
        <f aca="false">IF(AND(AC$4&gt;=$C39,AC$4&lt;=$D39),$E39/Assumptions!$B$5,0)</f>
        <v>0</v>
      </c>
      <c r="AD39" s="10" t="n">
        <f aca="false">IF(AND(AD$4&gt;=$C39,AD$4&lt;=$D39),$E39/Assumptions!$B$5,0)</f>
        <v>0</v>
      </c>
      <c r="AE39" s="10" t="n">
        <f aca="false">IF(AND(AE$4&gt;=$C39,AE$4&lt;=$D39),$E39/Assumptions!$B$5,0)</f>
        <v>21062.25</v>
      </c>
      <c r="AF39" s="10" t="n">
        <f aca="false">IF(AND(AF$4&gt;=$C39,AF$4&lt;=$D39),$E39/Assumptions!$B$5,0)</f>
        <v>21062.25</v>
      </c>
      <c r="AG39" s="10" t="n">
        <f aca="false">IF(AND(AG$4&gt;=$C39,AG$4&lt;=$D39),$E39/Assumptions!$B$5,0)</f>
        <v>21062.25</v>
      </c>
    </row>
    <row r="40" customFormat="false" ht="15" hidden="false" customHeight="false" outlineLevel="0" collapsed="false">
      <c r="A40" s="0" t="s">
        <v>88</v>
      </c>
      <c r="B40" s="15" t="n">
        <f aca="false">D14+1</f>
        <v>23</v>
      </c>
      <c r="C40" s="15" t="n">
        <f aca="false">B40</f>
        <v>23</v>
      </c>
      <c r="D40" s="15" t="n">
        <f aca="false">C40+Assumptions!$B$5-1</f>
        <v>34</v>
      </c>
      <c r="E40" s="10" t="n">
        <f aca="false">G40+H40-I40</f>
        <v>252747</v>
      </c>
      <c r="F40" s="10" t="n">
        <f aca="false">E14*Assumptions!$B$26</f>
        <v>29970</v>
      </c>
      <c r="G40" s="10" t="n">
        <f aca="false">E14-F40</f>
        <v>219780</v>
      </c>
      <c r="H40" s="10" t="n">
        <f aca="false">G40*Assumptions!$B$27</f>
        <v>39560.4</v>
      </c>
      <c r="I40" s="10" t="n">
        <f aca="false">G40*Assumptions!$B$28</f>
        <v>6593.4</v>
      </c>
      <c r="J40" s="10" t="n">
        <f aca="false">IF(AND(J$4&gt;=$C40,J$4&lt;=$D40),$E40/Assumptions!$B$5,0)</f>
        <v>0</v>
      </c>
      <c r="K40" s="10" t="n">
        <f aca="false">IF(AND(K$4&gt;=$C40,K$4&lt;=$D40),$E40/Assumptions!$B$5,0)</f>
        <v>0</v>
      </c>
      <c r="L40" s="10" t="n">
        <f aca="false">IF(AND(L$4&gt;=$C40,L$4&lt;=$D40),$E40/Assumptions!$B$5,0)</f>
        <v>0</v>
      </c>
      <c r="M40" s="10" t="n">
        <f aca="false">IF(AND(M$4&gt;=$C40,M$4&lt;=$D40),$E40/Assumptions!$B$5,0)</f>
        <v>0</v>
      </c>
      <c r="N40" s="10" t="n">
        <f aca="false">IF(AND(N$4&gt;=$C40,N$4&lt;=$D40),$E40/Assumptions!$B$5,0)</f>
        <v>0</v>
      </c>
      <c r="O40" s="10" t="n">
        <f aca="false">IF(AND(O$4&gt;=$C40,O$4&lt;=$D40),$E40/Assumptions!$B$5,0)</f>
        <v>0</v>
      </c>
      <c r="P40" s="10" t="n">
        <f aca="false">IF(AND(P$4&gt;=$C40,P$4&lt;=$D40),$E40/Assumptions!$B$5,0)</f>
        <v>0</v>
      </c>
      <c r="Q40" s="10" t="n">
        <f aca="false">IF(AND(Q$4&gt;=$C40,Q$4&lt;=$D40),$E40/Assumptions!$B$5,0)</f>
        <v>0</v>
      </c>
      <c r="R40" s="10" t="n">
        <f aca="false">IF(AND(R$4&gt;=$C40,R$4&lt;=$D40),$E40/Assumptions!$B$5,0)</f>
        <v>0</v>
      </c>
      <c r="S40" s="10" t="n">
        <f aca="false">IF(AND(S$4&gt;=$C40,S$4&lt;=$D40),$E40/Assumptions!$B$5,0)</f>
        <v>0</v>
      </c>
      <c r="T40" s="10" t="n">
        <f aca="false">IF(AND(T$4&gt;=$C40,T$4&lt;=$D40),$E40/Assumptions!$B$5,0)</f>
        <v>0</v>
      </c>
      <c r="U40" s="10" t="n">
        <f aca="false">IF(AND(U$4&gt;=$C40,U$4&lt;=$D40),$E40/Assumptions!$B$5,0)</f>
        <v>0</v>
      </c>
      <c r="V40" s="10" t="n">
        <f aca="false">IF(AND(V$4&gt;=$C40,V$4&lt;=$D40),$E40/Assumptions!$B$5,0)</f>
        <v>0</v>
      </c>
      <c r="W40" s="10" t="n">
        <f aca="false">IF(AND(W$4&gt;=$C40,W$4&lt;=$D40),$E40/Assumptions!$B$5,0)</f>
        <v>0</v>
      </c>
      <c r="X40" s="10" t="n">
        <f aca="false">IF(AND(X$4&gt;=$C40,X$4&lt;=$D40),$E40/Assumptions!$B$5,0)</f>
        <v>0</v>
      </c>
      <c r="Y40" s="10" t="n">
        <f aca="false">IF(AND(Y$4&gt;=$C40,Y$4&lt;=$D40),$E40/Assumptions!$B$5,0)</f>
        <v>0</v>
      </c>
      <c r="Z40" s="10" t="n">
        <f aca="false">IF(AND(Z$4&gt;=$C40,Z$4&lt;=$D40),$E40/Assumptions!$B$5,0)</f>
        <v>0</v>
      </c>
      <c r="AA40" s="10" t="n">
        <f aca="false">IF(AND(AA$4&gt;=$C40,AA$4&lt;=$D40),$E40/Assumptions!$B$5,0)</f>
        <v>0</v>
      </c>
      <c r="AB40" s="10" t="n">
        <f aca="false">IF(AND(AB$4&gt;=$C40,AB$4&lt;=$D40),$E40/Assumptions!$B$5,0)</f>
        <v>0</v>
      </c>
      <c r="AC40" s="10" t="n">
        <f aca="false">IF(AND(AC$4&gt;=$C40,AC$4&lt;=$D40),$E40/Assumptions!$B$5,0)</f>
        <v>0</v>
      </c>
      <c r="AD40" s="10" t="n">
        <f aca="false">IF(AND(AD$4&gt;=$C40,AD$4&lt;=$D40),$E40/Assumptions!$B$5,0)</f>
        <v>0</v>
      </c>
      <c r="AE40" s="10" t="n">
        <f aca="false">IF(AND(AE$4&gt;=$C40,AE$4&lt;=$D40),$E40/Assumptions!$B$5,0)</f>
        <v>0</v>
      </c>
      <c r="AF40" s="10" t="n">
        <f aca="false">IF(AND(AF$4&gt;=$C40,AF$4&lt;=$D40),$E40/Assumptions!$B$5,0)</f>
        <v>21062.25</v>
      </c>
      <c r="AG40" s="10" t="n">
        <f aca="false">IF(AND(AG$4&gt;=$C40,AG$4&lt;=$D40),$E40/Assumptions!$B$5,0)</f>
        <v>21062.25</v>
      </c>
    </row>
    <row r="41" customFormat="false" ht="15" hidden="false" customHeight="false" outlineLevel="0" collapsed="false">
      <c r="A41" s="0" t="s">
        <v>89</v>
      </c>
      <c r="B41" s="15" t="n">
        <f aca="false">D15+1</f>
        <v>24</v>
      </c>
      <c r="C41" s="15" t="n">
        <f aca="false">B41</f>
        <v>24</v>
      </c>
      <c r="D41" s="15" t="n">
        <f aca="false">C41+Assumptions!$B$5-1</f>
        <v>35</v>
      </c>
      <c r="E41" s="10" t="n">
        <f aca="false">G41+H41-I41</f>
        <v>252747</v>
      </c>
      <c r="F41" s="10" t="n">
        <f aca="false">E15*Assumptions!$B$26</f>
        <v>29970</v>
      </c>
      <c r="G41" s="10" t="n">
        <f aca="false">E15-F41</f>
        <v>219780</v>
      </c>
      <c r="H41" s="10" t="n">
        <f aca="false">G41*Assumptions!$B$27</f>
        <v>39560.4</v>
      </c>
      <c r="I41" s="10" t="n">
        <f aca="false">G41*Assumptions!$B$28</f>
        <v>6593.4</v>
      </c>
      <c r="J41" s="10" t="n">
        <f aca="false">IF(AND(J$4&gt;=$C41,J$4&lt;=$D41),$E41/Assumptions!$B$5,0)</f>
        <v>0</v>
      </c>
      <c r="K41" s="10" t="n">
        <f aca="false">IF(AND(K$4&gt;=$C41,K$4&lt;=$D41),$E41/Assumptions!$B$5,0)</f>
        <v>0</v>
      </c>
      <c r="L41" s="10" t="n">
        <f aca="false">IF(AND(L$4&gt;=$C41,L$4&lt;=$D41),$E41/Assumptions!$B$5,0)</f>
        <v>0</v>
      </c>
      <c r="M41" s="10" t="n">
        <f aca="false">IF(AND(M$4&gt;=$C41,M$4&lt;=$D41),$E41/Assumptions!$B$5,0)</f>
        <v>0</v>
      </c>
      <c r="N41" s="10" t="n">
        <f aca="false">IF(AND(N$4&gt;=$C41,N$4&lt;=$D41),$E41/Assumptions!$B$5,0)</f>
        <v>0</v>
      </c>
      <c r="O41" s="10" t="n">
        <f aca="false">IF(AND(O$4&gt;=$C41,O$4&lt;=$D41),$E41/Assumptions!$B$5,0)</f>
        <v>0</v>
      </c>
      <c r="P41" s="10" t="n">
        <f aca="false">IF(AND(P$4&gt;=$C41,P$4&lt;=$D41),$E41/Assumptions!$B$5,0)</f>
        <v>0</v>
      </c>
      <c r="Q41" s="10" t="n">
        <f aca="false">IF(AND(Q$4&gt;=$C41,Q$4&lt;=$D41),$E41/Assumptions!$B$5,0)</f>
        <v>0</v>
      </c>
      <c r="R41" s="10" t="n">
        <f aca="false">IF(AND(R$4&gt;=$C41,R$4&lt;=$D41),$E41/Assumptions!$B$5,0)</f>
        <v>0</v>
      </c>
      <c r="S41" s="10" t="n">
        <f aca="false">IF(AND(S$4&gt;=$C41,S$4&lt;=$D41),$E41/Assumptions!$B$5,0)</f>
        <v>0</v>
      </c>
      <c r="T41" s="10" t="n">
        <f aca="false">IF(AND(T$4&gt;=$C41,T$4&lt;=$D41),$E41/Assumptions!$B$5,0)</f>
        <v>0</v>
      </c>
      <c r="U41" s="10" t="n">
        <f aca="false">IF(AND(U$4&gt;=$C41,U$4&lt;=$D41),$E41/Assumptions!$B$5,0)</f>
        <v>0</v>
      </c>
      <c r="V41" s="10" t="n">
        <f aca="false">IF(AND(V$4&gt;=$C41,V$4&lt;=$D41),$E41/Assumptions!$B$5,0)</f>
        <v>0</v>
      </c>
      <c r="W41" s="10" t="n">
        <f aca="false">IF(AND(W$4&gt;=$C41,W$4&lt;=$D41),$E41/Assumptions!$B$5,0)</f>
        <v>0</v>
      </c>
      <c r="X41" s="10" t="n">
        <f aca="false">IF(AND(X$4&gt;=$C41,X$4&lt;=$D41),$E41/Assumptions!$B$5,0)</f>
        <v>0</v>
      </c>
      <c r="Y41" s="10" t="n">
        <f aca="false">IF(AND(Y$4&gt;=$C41,Y$4&lt;=$D41),$E41/Assumptions!$B$5,0)</f>
        <v>0</v>
      </c>
      <c r="Z41" s="10" t="n">
        <f aca="false">IF(AND(Z$4&gt;=$C41,Z$4&lt;=$D41),$E41/Assumptions!$B$5,0)</f>
        <v>0</v>
      </c>
      <c r="AA41" s="10" t="n">
        <f aca="false">IF(AND(AA$4&gt;=$C41,AA$4&lt;=$D41),$E41/Assumptions!$B$5,0)</f>
        <v>0</v>
      </c>
      <c r="AB41" s="10" t="n">
        <f aca="false">IF(AND(AB$4&gt;=$C41,AB$4&lt;=$D41),$E41/Assumptions!$B$5,0)</f>
        <v>0</v>
      </c>
      <c r="AC41" s="10" t="n">
        <f aca="false">IF(AND(AC$4&gt;=$C41,AC$4&lt;=$D41),$E41/Assumptions!$B$5,0)</f>
        <v>0</v>
      </c>
      <c r="AD41" s="10" t="n">
        <f aca="false">IF(AND(AD$4&gt;=$C41,AD$4&lt;=$D41),$E41/Assumptions!$B$5,0)</f>
        <v>0</v>
      </c>
      <c r="AE41" s="10" t="n">
        <f aca="false">IF(AND(AE$4&gt;=$C41,AE$4&lt;=$D41),$E41/Assumptions!$B$5,0)</f>
        <v>0</v>
      </c>
      <c r="AF41" s="10" t="n">
        <f aca="false">IF(AND(AF$4&gt;=$C41,AF$4&lt;=$D41),$E41/Assumptions!$B$5,0)</f>
        <v>0</v>
      </c>
      <c r="AG41" s="10" t="n">
        <f aca="false">IF(AND(AG$4&gt;=$C41,AG$4&lt;=$D41),$E41/Assumptions!$B$5,0)</f>
        <v>21062.25</v>
      </c>
    </row>
    <row r="42" customFormat="false" ht="15" hidden="false" customHeight="false" outlineLevel="0" collapsed="false">
      <c r="A42" s="0" t="s">
        <v>90</v>
      </c>
      <c r="B42" s="15" t="n">
        <f aca="false">D16+1</f>
        <v>25</v>
      </c>
      <c r="C42" s="15" t="n">
        <f aca="false">B42</f>
        <v>25</v>
      </c>
      <c r="D42" s="15" t="n">
        <f aca="false">C42+Assumptions!$B$5-1</f>
        <v>36</v>
      </c>
      <c r="E42" s="10" t="n">
        <f aca="false">G42+H42-I42</f>
        <v>252747</v>
      </c>
      <c r="F42" s="10" t="n">
        <f aca="false">E16*Assumptions!$B$26</f>
        <v>29970</v>
      </c>
      <c r="G42" s="10" t="n">
        <f aca="false">E16-F42</f>
        <v>219780</v>
      </c>
      <c r="H42" s="10" t="n">
        <f aca="false">G42*Assumptions!$B$27</f>
        <v>39560.4</v>
      </c>
      <c r="I42" s="10" t="n">
        <f aca="false">G42*Assumptions!$B$28</f>
        <v>6593.4</v>
      </c>
      <c r="J42" s="10" t="n">
        <f aca="false">IF(AND(J$4&gt;=$C42,J$4&lt;=$D42),$E42/Assumptions!$B$5,0)</f>
        <v>0</v>
      </c>
      <c r="K42" s="10" t="n">
        <f aca="false">IF(AND(K$4&gt;=$C42,K$4&lt;=$D42),$E42/Assumptions!$B$5,0)</f>
        <v>0</v>
      </c>
      <c r="L42" s="10" t="n">
        <f aca="false">IF(AND(L$4&gt;=$C42,L$4&lt;=$D42),$E42/Assumptions!$B$5,0)</f>
        <v>0</v>
      </c>
      <c r="M42" s="10" t="n">
        <f aca="false">IF(AND(M$4&gt;=$C42,M$4&lt;=$D42),$E42/Assumptions!$B$5,0)</f>
        <v>0</v>
      </c>
      <c r="N42" s="10" t="n">
        <f aca="false">IF(AND(N$4&gt;=$C42,N$4&lt;=$D42),$E42/Assumptions!$B$5,0)</f>
        <v>0</v>
      </c>
      <c r="O42" s="10" t="n">
        <f aca="false">IF(AND(O$4&gt;=$C42,O$4&lt;=$D42),$E42/Assumptions!$B$5,0)</f>
        <v>0</v>
      </c>
      <c r="P42" s="10" t="n">
        <f aca="false">IF(AND(P$4&gt;=$C42,P$4&lt;=$D42),$E42/Assumptions!$B$5,0)</f>
        <v>0</v>
      </c>
      <c r="Q42" s="10" t="n">
        <f aca="false">IF(AND(Q$4&gt;=$C42,Q$4&lt;=$D42),$E42/Assumptions!$B$5,0)</f>
        <v>0</v>
      </c>
      <c r="R42" s="10" t="n">
        <f aca="false">IF(AND(R$4&gt;=$C42,R$4&lt;=$D42),$E42/Assumptions!$B$5,0)</f>
        <v>0</v>
      </c>
      <c r="S42" s="10" t="n">
        <f aca="false">IF(AND(S$4&gt;=$C42,S$4&lt;=$D42),$E42/Assumptions!$B$5,0)</f>
        <v>0</v>
      </c>
      <c r="T42" s="10" t="n">
        <f aca="false">IF(AND(T$4&gt;=$C42,T$4&lt;=$D42),$E42/Assumptions!$B$5,0)</f>
        <v>0</v>
      </c>
      <c r="U42" s="10" t="n">
        <f aca="false">IF(AND(U$4&gt;=$C42,U$4&lt;=$D42),$E42/Assumptions!$B$5,0)</f>
        <v>0</v>
      </c>
      <c r="V42" s="10" t="n">
        <f aca="false">IF(AND(V$4&gt;=$C42,V$4&lt;=$D42),$E42/Assumptions!$B$5,0)</f>
        <v>0</v>
      </c>
      <c r="W42" s="10" t="n">
        <f aca="false">IF(AND(W$4&gt;=$C42,W$4&lt;=$D42),$E42/Assumptions!$B$5,0)</f>
        <v>0</v>
      </c>
      <c r="X42" s="10" t="n">
        <f aca="false">IF(AND(X$4&gt;=$C42,X$4&lt;=$D42),$E42/Assumptions!$B$5,0)</f>
        <v>0</v>
      </c>
      <c r="Y42" s="10" t="n">
        <f aca="false">IF(AND(Y$4&gt;=$C42,Y$4&lt;=$D42),$E42/Assumptions!$B$5,0)</f>
        <v>0</v>
      </c>
      <c r="Z42" s="10" t="n">
        <f aca="false">IF(AND(Z$4&gt;=$C42,Z$4&lt;=$D42),$E42/Assumptions!$B$5,0)</f>
        <v>0</v>
      </c>
      <c r="AA42" s="10" t="n">
        <f aca="false">IF(AND(AA$4&gt;=$C42,AA$4&lt;=$D42),$E42/Assumptions!$B$5,0)</f>
        <v>0</v>
      </c>
      <c r="AB42" s="10" t="n">
        <f aca="false">IF(AND(AB$4&gt;=$C42,AB$4&lt;=$D42),$E42/Assumptions!$B$5,0)</f>
        <v>0</v>
      </c>
      <c r="AC42" s="10" t="n">
        <f aca="false">IF(AND(AC$4&gt;=$C42,AC$4&lt;=$D42),$E42/Assumptions!$B$5,0)</f>
        <v>0</v>
      </c>
      <c r="AD42" s="10" t="n">
        <f aca="false">IF(AND(AD$4&gt;=$C42,AD$4&lt;=$D42),$E42/Assumptions!$B$5,0)</f>
        <v>0</v>
      </c>
      <c r="AE42" s="10" t="n">
        <f aca="false">IF(AND(AE$4&gt;=$C42,AE$4&lt;=$D42),$E42/Assumptions!$B$5,0)</f>
        <v>0</v>
      </c>
      <c r="AF42" s="10" t="n">
        <f aca="false">IF(AND(AF$4&gt;=$C42,AF$4&lt;=$D42),$E42/Assumptions!$B$5,0)</f>
        <v>0</v>
      </c>
      <c r="AG42" s="10" t="n">
        <f aca="false">IF(AND(AG$4&gt;=$C42,AG$4&lt;=$D42),$E42/Assumptions!$B$5,0)</f>
        <v>0</v>
      </c>
    </row>
    <row r="43" customFormat="false" ht="15" hidden="false" customHeight="false" outlineLevel="0" collapsed="false">
      <c r="A43" s="0" t="s">
        <v>91</v>
      </c>
      <c r="B43" s="15" t="n">
        <f aca="false">D17+1</f>
        <v>26</v>
      </c>
      <c r="C43" s="15" t="n">
        <f aca="false">B43</f>
        <v>26</v>
      </c>
      <c r="D43" s="15" t="n">
        <f aca="false">C43+Assumptions!$B$5-1</f>
        <v>37</v>
      </c>
      <c r="E43" s="10" t="n">
        <f aca="false">G43+H43-I43</f>
        <v>252747</v>
      </c>
      <c r="F43" s="10" t="n">
        <f aca="false">E17*Assumptions!$B$26</f>
        <v>29970</v>
      </c>
      <c r="G43" s="10" t="n">
        <f aca="false">E17-F43</f>
        <v>219780</v>
      </c>
      <c r="H43" s="10" t="n">
        <f aca="false">G43*Assumptions!$B$27</f>
        <v>39560.4</v>
      </c>
      <c r="I43" s="10" t="n">
        <f aca="false">G43*Assumptions!$B$28</f>
        <v>6593.4</v>
      </c>
      <c r="J43" s="10" t="n">
        <f aca="false">IF(AND(J$4&gt;=$C43,J$4&lt;=$D43),$E43/Assumptions!$B$5,0)</f>
        <v>0</v>
      </c>
      <c r="K43" s="10" t="n">
        <f aca="false">IF(AND(K$4&gt;=$C43,K$4&lt;=$D43),$E43/Assumptions!$B$5,0)</f>
        <v>0</v>
      </c>
      <c r="L43" s="10" t="n">
        <f aca="false">IF(AND(L$4&gt;=$C43,L$4&lt;=$D43),$E43/Assumptions!$B$5,0)</f>
        <v>0</v>
      </c>
      <c r="M43" s="10" t="n">
        <f aca="false">IF(AND(M$4&gt;=$C43,M$4&lt;=$D43),$E43/Assumptions!$B$5,0)</f>
        <v>0</v>
      </c>
      <c r="N43" s="10" t="n">
        <f aca="false">IF(AND(N$4&gt;=$C43,N$4&lt;=$D43),$E43/Assumptions!$B$5,0)</f>
        <v>0</v>
      </c>
      <c r="O43" s="10" t="n">
        <f aca="false">IF(AND(O$4&gt;=$C43,O$4&lt;=$D43),$E43/Assumptions!$B$5,0)</f>
        <v>0</v>
      </c>
      <c r="P43" s="10" t="n">
        <f aca="false">IF(AND(P$4&gt;=$C43,P$4&lt;=$D43),$E43/Assumptions!$B$5,0)</f>
        <v>0</v>
      </c>
      <c r="Q43" s="10" t="n">
        <f aca="false">IF(AND(Q$4&gt;=$C43,Q$4&lt;=$D43),$E43/Assumptions!$B$5,0)</f>
        <v>0</v>
      </c>
      <c r="R43" s="10" t="n">
        <f aca="false">IF(AND(R$4&gt;=$C43,R$4&lt;=$D43),$E43/Assumptions!$B$5,0)</f>
        <v>0</v>
      </c>
      <c r="S43" s="10" t="n">
        <f aca="false">IF(AND(S$4&gt;=$C43,S$4&lt;=$D43),$E43/Assumptions!$B$5,0)</f>
        <v>0</v>
      </c>
      <c r="T43" s="10" t="n">
        <f aca="false">IF(AND(T$4&gt;=$C43,T$4&lt;=$D43),$E43/Assumptions!$B$5,0)</f>
        <v>0</v>
      </c>
      <c r="U43" s="10" t="n">
        <f aca="false">IF(AND(U$4&gt;=$C43,U$4&lt;=$D43),$E43/Assumptions!$B$5,0)</f>
        <v>0</v>
      </c>
      <c r="V43" s="10" t="n">
        <f aca="false">IF(AND(V$4&gt;=$C43,V$4&lt;=$D43),$E43/Assumptions!$B$5,0)</f>
        <v>0</v>
      </c>
      <c r="W43" s="10" t="n">
        <f aca="false">IF(AND(W$4&gt;=$C43,W$4&lt;=$D43),$E43/Assumptions!$B$5,0)</f>
        <v>0</v>
      </c>
      <c r="X43" s="10" t="n">
        <f aca="false">IF(AND(X$4&gt;=$C43,X$4&lt;=$D43),$E43/Assumptions!$B$5,0)</f>
        <v>0</v>
      </c>
      <c r="Y43" s="10" t="n">
        <f aca="false">IF(AND(Y$4&gt;=$C43,Y$4&lt;=$D43),$E43/Assumptions!$B$5,0)</f>
        <v>0</v>
      </c>
      <c r="Z43" s="10" t="n">
        <f aca="false">IF(AND(Z$4&gt;=$C43,Z$4&lt;=$D43),$E43/Assumptions!$B$5,0)</f>
        <v>0</v>
      </c>
      <c r="AA43" s="10" t="n">
        <f aca="false">IF(AND(AA$4&gt;=$C43,AA$4&lt;=$D43),$E43/Assumptions!$B$5,0)</f>
        <v>0</v>
      </c>
      <c r="AB43" s="10" t="n">
        <f aca="false">IF(AND(AB$4&gt;=$C43,AB$4&lt;=$D43),$E43/Assumptions!$B$5,0)</f>
        <v>0</v>
      </c>
      <c r="AC43" s="10" t="n">
        <f aca="false">IF(AND(AC$4&gt;=$C43,AC$4&lt;=$D43),$E43/Assumptions!$B$5,0)</f>
        <v>0</v>
      </c>
      <c r="AD43" s="10" t="n">
        <f aca="false">IF(AND(AD$4&gt;=$C43,AD$4&lt;=$D43),$E43/Assumptions!$B$5,0)</f>
        <v>0</v>
      </c>
      <c r="AE43" s="10" t="n">
        <f aca="false">IF(AND(AE$4&gt;=$C43,AE$4&lt;=$D43),$E43/Assumptions!$B$5,0)</f>
        <v>0</v>
      </c>
      <c r="AF43" s="10" t="n">
        <f aca="false">IF(AND(AF$4&gt;=$C43,AF$4&lt;=$D43),$E43/Assumptions!$B$5,0)</f>
        <v>0</v>
      </c>
      <c r="AG43" s="10" t="n">
        <f aca="false">IF(AND(AG$4&gt;=$C43,AG$4&lt;=$D43),$E43/Assumptions!$B$5,0)</f>
        <v>0</v>
      </c>
    </row>
    <row r="44" customFormat="false" ht="15" hidden="false" customHeight="false" outlineLevel="0" collapsed="false">
      <c r="A44" s="0" t="s">
        <v>92</v>
      </c>
      <c r="B44" s="15" t="n">
        <f aca="false">D18+1</f>
        <v>27</v>
      </c>
      <c r="C44" s="15" t="n">
        <f aca="false">B44</f>
        <v>27</v>
      </c>
      <c r="D44" s="15" t="n">
        <f aca="false">C44+Assumptions!$B$5-1</f>
        <v>38</v>
      </c>
      <c r="E44" s="10" t="n">
        <f aca="false">G44+H44-I44</f>
        <v>252747</v>
      </c>
      <c r="F44" s="10" t="n">
        <f aca="false">E18*Assumptions!$B$26</f>
        <v>29970</v>
      </c>
      <c r="G44" s="10" t="n">
        <f aca="false">E18-F44</f>
        <v>219780</v>
      </c>
      <c r="H44" s="10" t="n">
        <f aca="false">G44*Assumptions!$B$27</f>
        <v>39560.4</v>
      </c>
      <c r="I44" s="10" t="n">
        <f aca="false">G44*Assumptions!$B$28</f>
        <v>6593.4</v>
      </c>
      <c r="J44" s="10" t="n">
        <f aca="false">IF(AND(J$4&gt;=$C44,J$4&lt;=$D44),$E44/Assumptions!$B$5,0)</f>
        <v>0</v>
      </c>
      <c r="K44" s="10" t="n">
        <f aca="false">IF(AND(K$4&gt;=$C44,K$4&lt;=$D44),$E44/Assumptions!$B$5,0)</f>
        <v>0</v>
      </c>
      <c r="L44" s="10" t="n">
        <f aca="false">IF(AND(L$4&gt;=$C44,L$4&lt;=$D44),$E44/Assumptions!$B$5,0)</f>
        <v>0</v>
      </c>
      <c r="M44" s="10" t="n">
        <f aca="false">IF(AND(M$4&gt;=$C44,M$4&lt;=$D44),$E44/Assumptions!$B$5,0)</f>
        <v>0</v>
      </c>
      <c r="N44" s="10" t="n">
        <f aca="false">IF(AND(N$4&gt;=$C44,N$4&lt;=$D44),$E44/Assumptions!$B$5,0)</f>
        <v>0</v>
      </c>
      <c r="O44" s="10" t="n">
        <f aca="false">IF(AND(O$4&gt;=$C44,O$4&lt;=$D44),$E44/Assumptions!$B$5,0)</f>
        <v>0</v>
      </c>
      <c r="P44" s="10" t="n">
        <f aca="false">IF(AND(P$4&gt;=$C44,P$4&lt;=$D44),$E44/Assumptions!$B$5,0)</f>
        <v>0</v>
      </c>
      <c r="Q44" s="10" t="n">
        <f aca="false">IF(AND(Q$4&gt;=$C44,Q$4&lt;=$D44),$E44/Assumptions!$B$5,0)</f>
        <v>0</v>
      </c>
      <c r="R44" s="10" t="n">
        <f aca="false">IF(AND(R$4&gt;=$C44,R$4&lt;=$D44),$E44/Assumptions!$B$5,0)</f>
        <v>0</v>
      </c>
      <c r="S44" s="10" t="n">
        <f aca="false">IF(AND(S$4&gt;=$C44,S$4&lt;=$D44),$E44/Assumptions!$B$5,0)</f>
        <v>0</v>
      </c>
      <c r="T44" s="10" t="n">
        <f aca="false">IF(AND(T$4&gt;=$C44,T$4&lt;=$D44),$E44/Assumptions!$B$5,0)</f>
        <v>0</v>
      </c>
      <c r="U44" s="10" t="n">
        <f aca="false">IF(AND(U$4&gt;=$C44,U$4&lt;=$D44),$E44/Assumptions!$B$5,0)</f>
        <v>0</v>
      </c>
      <c r="V44" s="10" t="n">
        <f aca="false">IF(AND(V$4&gt;=$C44,V$4&lt;=$D44),$E44/Assumptions!$B$5,0)</f>
        <v>0</v>
      </c>
      <c r="W44" s="10" t="n">
        <f aca="false">IF(AND(W$4&gt;=$C44,W$4&lt;=$D44),$E44/Assumptions!$B$5,0)</f>
        <v>0</v>
      </c>
      <c r="X44" s="10" t="n">
        <f aca="false">IF(AND(X$4&gt;=$C44,X$4&lt;=$D44),$E44/Assumptions!$B$5,0)</f>
        <v>0</v>
      </c>
      <c r="Y44" s="10" t="n">
        <f aca="false">IF(AND(Y$4&gt;=$C44,Y$4&lt;=$D44),$E44/Assumptions!$B$5,0)</f>
        <v>0</v>
      </c>
      <c r="Z44" s="10" t="n">
        <f aca="false">IF(AND(Z$4&gt;=$C44,Z$4&lt;=$D44),$E44/Assumptions!$B$5,0)</f>
        <v>0</v>
      </c>
      <c r="AA44" s="10" t="n">
        <f aca="false">IF(AND(AA$4&gt;=$C44,AA$4&lt;=$D44),$E44/Assumptions!$B$5,0)</f>
        <v>0</v>
      </c>
      <c r="AB44" s="10" t="n">
        <f aca="false">IF(AND(AB$4&gt;=$C44,AB$4&lt;=$D44),$E44/Assumptions!$B$5,0)</f>
        <v>0</v>
      </c>
      <c r="AC44" s="10" t="n">
        <f aca="false">IF(AND(AC$4&gt;=$C44,AC$4&lt;=$D44),$E44/Assumptions!$B$5,0)</f>
        <v>0</v>
      </c>
      <c r="AD44" s="10" t="n">
        <f aca="false">IF(AND(AD$4&gt;=$C44,AD$4&lt;=$D44),$E44/Assumptions!$B$5,0)</f>
        <v>0</v>
      </c>
      <c r="AE44" s="10" t="n">
        <f aca="false">IF(AND(AE$4&gt;=$C44,AE$4&lt;=$D44),$E44/Assumptions!$B$5,0)</f>
        <v>0</v>
      </c>
      <c r="AF44" s="10" t="n">
        <f aca="false">IF(AND(AF$4&gt;=$C44,AF$4&lt;=$D44),$E44/Assumptions!$B$5,0)</f>
        <v>0</v>
      </c>
      <c r="AG44" s="10" t="n">
        <f aca="false">IF(AND(AG$4&gt;=$C44,AG$4&lt;=$D44),$E44/Assumptions!$B$5,0)</f>
        <v>0</v>
      </c>
    </row>
    <row r="45" customFormat="false" ht="15" hidden="false" customHeight="false" outlineLevel="0" collapsed="false">
      <c r="A45" s="0" t="s">
        <v>93</v>
      </c>
      <c r="B45" s="15" t="n">
        <f aca="false">D19+1</f>
        <v>28</v>
      </c>
      <c r="C45" s="15" t="n">
        <f aca="false">B45</f>
        <v>28</v>
      </c>
      <c r="D45" s="15" t="n">
        <f aca="false">C45+Assumptions!$B$5-1</f>
        <v>39</v>
      </c>
      <c r="E45" s="10" t="n">
        <f aca="false">G45+H45-I45</f>
        <v>252747</v>
      </c>
      <c r="F45" s="10" t="n">
        <f aca="false">E19*Assumptions!$B$26</f>
        <v>29970</v>
      </c>
      <c r="G45" s="10" t="n">
        <f aca="false">E19-F45</f>
        <v>219780</v>
      </c>
      <c r="H45" s="10" t="n">
        <f aca="false">G45*Assumptions!$B$27</f>
        <v>39560.4</v>
      </c>
      <c r="I45" s="10" t="n">
        <f aca="false">G45*Assumptions!$B$28</f>
        <v>6593.4</v>
      </c>
      <c r="J45" s="10" t="n">
        <f aca="false">IF(AND(J$4&gt;=$C45,J$4&lt;=$D45),$E45/Assumptions!$B$5,0)</f>
        <v>0</v>
      </c>
      <c r="K45" s="10" t="n">
        <f aca="false">IF(AND(K$4&gt;=$C45,K$4&lt;=$D45),$E45/Assumptions!$B$5,0)</f>
        <v>0</v>
      </c>
      <c r="L45" s="10" t="n">
        <f aca="false">IF(AND(L$4&gt;=$C45,L$4&lt;=$D45),$E45/Assumptions!$B$5,0)</f>
        <v>0</v>
      </c>
      <c r="M45" s="10" t="n">
        <f aca="false">IF(AND(M$4&gt;=$C45,M$4&lt;=$D45),$E45/Assumptions!$B$5,0)</f>
        <v>0</v>
      </c>
      <c r="N45" s="10" t="n">
        <f aca="false">IF(AND(N$4&gt;=$C45,N$4&lt;=$D45),$E45/Assumptions!$B$5,0)</f>
        <v>0</v>
      </c>
      <c r="O45" s="10" t="n">
        <f aca="false">IF(AND(O$4&gt;=$C45,O$4&lt;=$D45),$E45/Assumptions!$B$5,0)</f>
        <v>0</v>
      </c>
      <c r="P45" s="10" t="n">
        <f aca="false">IF(AND(P$4&gt;=$C45,P$4&lt;=$D45),$E45/Assumptions!$B$5,0)</f>
        <v>0</v>
      </c>
      <c r="Q45" s="10" t="n">
        <f aca="false">IF(AND(Q$4&gt;=$C45,Q$4&lt;=$D45),$E45/Assumptions!$B$5,0)</f>
        <v>0</v>
      </c>
      <c r="R45" s="10" t="n">
        <f aca="false">IF(AND(R$4&gt;=$C45,R$4&lt;=$D45),$E45/Assumptions!$B$5,0)</f>
        <v>0</v>
      </c>
      <c r="S45" s="10" t="n">
        <f aca="false">IF(AND(S$4&gt;=$C45,S$4&lt;=$D45),$E45/Assumptions!$B$5,0)</f>
        <v>0</v>
      </c>
      <c r="T45" s="10" t="n">
        <f aca="false">IF(AND(T$4&gt;=$C45,T$4&lt;=$D45),$E45/Assumptions!$B$5,0)</f>
        <v>0</v>
      </c>
      <c r="U45" s="10" t="n">
        <f aca="false">IF(AND(U$4&gt;=$C45,U$4&lt;=$D45),$E45/Assumptions!$B$5,0)</f>
        <v>0</v>
      </c>
      <c r="V45" s="10" t="n">
        <f aca="false">IF(AND(V$4&gt;=$C45,V$4&lt;=$D45),$E45/Assumptions!$B$5,0)</f>
        <v>0</v>
      </c>
      <c r="W45" s="10" t="n">
        <f aca="false">IF(AND(W$4&gt;=$C45,W$4&lt;=$D45),$E45/Assumptions!$B$5,0)</f>
        <v>0</v>
      </c>
      <c r="X45" s="10" t="n">
        <f aca="false">IF(AND(X$4&gt;=$C45,X$4&lt;=$D45),$E45/Assumptions!$B$5,0)</f>
        <v>0</v>
      </c>
      <c r="Y45" s="10" t="n">
        <f aca="false">IF(AND(Y$4&gt;=$C45,Y$4&lt;=$D45),$E45/Assumptions!$B$5,0)</f>
        <v>0</v>
      </c>
      <c r="Z45" s="10" t="n">
        <f aca="false">IF(AND(Z$4&gt;=$C45,Z$4&lt;=$D45),$E45/Assumptions!$B$5,0)</f>
        <v>0</v>
      </c>
      <c r="AA45" s="10" t="n">
        <f aca="false">IF(AND(AA$4&gt;=$C45,AA$4&lt;=$D45),$E45/Assumptions!$B$5,0)</f>
        <v>0</v>
      </c>
      <c r="AB45" s="10" t="n">
        <f aca="false">IF(AND(AB$4&gt;=$C45,AB$4&lt;=$D45),$E45/Assumptions!$B$5,0)</f>
        <v>0</v>
      </c>
      <c r="AC45" s="10" t="n">
        <f aca="false">IF(AND(AC$4&gt;=$C45,AC$4&lt;=$D45),$E45/Assumptions!$B$5,0)</f>
        <v>0</v>
      </c>
      <c r="AD45" s="10" t="n">
        <f aca="false">IF(AND(AD$4&gt;=$C45,AD$4&lt;=$D45),$E45/Assumptions!$B$5,0)</f>
        <v>0</v>
      </c>
      <c r="AE45" s="10" t="n">
        <f aca="false">IF(AND(AE$4&gt;=$C45,AE$4&lt;=$D45),$E45/Assumptions!$B$5,0)</f>
        <v>0</v>
      </c>
      <c r="AF45" s="10" t="n">
        <f aca="false">IF(AND(AF$4&gt;=$C45,AF$4&lt;=$D45),$E45/Assumptions!$B$5,0)</f>
        <v>0</v>
      </c>
      <c r="AG45" s="10" t="n">
        <f aca="false">IF(AND(AG$4&gt;=$C45,AG$4&lt;=$D45),$E45/Assumptions!$B$5,0)</f>
        <v>0</v>
      </c>
    </row>
    <row r="46" customFormat="false" ht="15" hidden="false" customHeight="false" outlineLevel="0" collapsed="false">
      <c r="A46" s="0" t="s">
        <v>94</v>
      </c>
      <c r="B46" s="15" t="n">
        <f aca="false">D20+1</f>
        <v>29</v>
      </c>
      <c r="C46" s="15" t="n">
        <f aca="false">B46</f>
        <v>29</v>
      </c>
      <c r="D46" s="15" t="n">
        <f aca="false">C46+Assumptions!$B$5-1</f>
        <v>40</v>
      </c>
      <c r="E46" s="10" t="n">
        <f aca="false">G46+H46-I46</f>
        <v>252747</v>
      </c>
      <c r="F46" s="10" t="n">
        <f aca="false">E20*Assumptions!$B$26</f>
        <v>29970</v>
      </c>
      <c r="G46" s="10" t="n">
        <f aca="false">E20-F46</f>
        <v>219780</v>
      </c>
      <c r="H46" s="10" t="n">
        <f aca="false">G46*Assumptions!$B$27</f>
        <v>39560.4</v>
      </c>
      <c r="I46" s="10" t="n">
        <f aca="false">G46*Assumptions!$B$28</f>
        <v>6593.4</v>
      </c>
      <c r="J46" s="10" t="n">
        <f aca="false">IF(AND(J$4&gt;=$C46,J$4&lt;=$D46),$E46/Assumptions!$B$5,0)</f>
        <v>0</v>
      </c>
      <c r="K46" s="10" t="n">
        <f aca="false">IF(AND(K$4&gt;=$C46,K$4&lt;=$D46),$E46/Assumptions!$B$5,0)</f>
        <v>0</v>
      </c>
      <c r="L46" s="10" t="n">
        <f aca="false">IF(AND(L$4&gt;=$C46,L$4&lt;=$D46),$E46/Assumptions!$B$5,0)</f>
        <v>0</v>
      </c>
      <c r="M46" s="10" t="n">
        <f aca="false">IF(AND(M$4&gt;=$C46,M$4&lt;=$D46),$E46/Assumptions!$B$5,0)</f>
        <v>0</v>
      </c>
      <c r="N46" s="10" t="n">
        <f aca="false">IF(AND(N$4&gt;=$C46,N$4&lt;=$D46),$E46/Assumptions!$B$5,0)</f>
        <v>0</v>
      </c>
      <c r="O46" s="10" t="n">
        <f aca="false">IF(AND(O$4&gt;=$C46,O$4&lt;=$D46),$E46/Assumptions!$B$5,0)</f>
        <v>0</v>
      </c>
      <c r="P46" s="10" t="n">
        <f aca="false">IF(AND(P$4&gt;=$C46,P$4&lt;=$D46),$E46/Assumptions!$B$5,0)</f>
        <v>0</v>
      </c>
      <c r="Q46" s="10" t="n">
        <f aca="false">IF(AND(Q$4&gt;=$C46,Q$4&lt;=$D46),$E46/Assumptions!$B$5,0)</f>
        <v>0</v>
      </c>
      <c r="R46" s="10" t="n">
        <f aca="false">IF(AND(R$4&gt;=$C46,R$4&lt;=$D46),$E46/Assumptions!$B$5,0)</f>
        <v>0</v>
      </c>
      <c r="S46" s="10" t="n">
        <f aca="false">IF(AND(S$4&gt;=$C46,S$4&lt;=$D46),$E46/Assumptions!$B$5,0)</f>
        <v>0</v>
      </c>
      <c r="T46" s="10" t="n">
        <f aca="false">IF(AND(T$4&gt;=$C46,T$4&lt;=$D46),$E46/Assumptions!$B$5,0)</f>
        <v>0</v>
      </c>
      <c r="U46" s="10" t="n">
        <f aca="false">IF(AND(U$4&gt;=$C46,U$4&lt;=$D46),$E46/Assumptions!$B$5,0)</f>
        <v>0</v>
      </c>
      <c r="V46" s="10" t="n">
        <f aca="false">IF(AND(V$4&gt;=$C46,V$4&lt;=$D46),$E46/Assumptions!$B$5,0)</f>
        <v>0</v>
      </c>
      <c r="W46" s="10" t="n">
        <f aca="false">IF(AND(W$4&gt;=$C46,W$4&lt;=$D46),$E46/Assumptions!$B$5,0)</f>
        <v>0</v>
      </c>
      <c r="X46" s="10" t="n">
        <f aca="false">IF(AND(X$4&gt;=$C46,X$4&lt;=$D46),$E46/Assumptions!$B$5,0)</f>
        <v>0</v>
      </c>
      <c r="Y46" s="10" t="n">
        <f aca="false">IF(AND(Y$4&gt;=$C46,Y$4&lt;=$D46),$E46/Assumptions!$B$5,0)</f>
        <v>0</v>
      </c>
      <c r="Z46" s="10" t="n">
        <f aca="false">IF(AND(Z$4&gt;=$C46,Z$4&lt;=$D46),$E46/Assumptions!$B$5,0)</f>
        <v>0</v>
      </c>
      <c r="AA46" s="10" t="n">
        <f aca="false">IF(AND(AA$4&gt;=$C46,AA$4&lt;=$D46),$E46/Assumptions!$B$5,0)</f>
        <v>0</v>
      </c>
      <c r="AB46" s="10" t="n">
        <f aca="false">IF(AND(AB$4&gt;=$C46,AB$4&lt;=$D46),$E46/Assumptions!$B$5,0)</f>
        <v>0</v>
      </c>
      <c r="AC46" s="10" t="n">
        <f aca="false">IF(AND(AC$4&gt;=$C46,AC$4&lt;=$D46),$E46/Assumptions!$B$5,0)</f>
        <v>0</v>
      </c>
      <c r="AD46" s="10" t="n">
        <f aca="false">IF(AND(AD$4&gt;=$C46,AD$4&lt;=$D46),$E46/Assumptions!$B$5,0)</f>
        <v>0</v>
      </c>
      <c r="AE46" s="10" t="n">
        <f aca="false">IF(AND(AE$4&gt;=$C46,AE$4&lt;=$D46),$E46/Assumptions!$B$5,0)</f>
        <v>0</v>
      </c>
      <c r="AF46" s="10" t="n">
        <f aca="false">IF(AND(AF$4&gt;=$C46,AF$4&lt;=$D46),$E46/Assumptions!$B$5,0)</f>
        <v>0</v>
      </c>
      <c r="AG46" s="10" t="n">
        <f aca="false">IF(AND(AG$4&gt;=$C46,AG$4&lt;=$D46),$E46/Assumptions!$B$5,0)</f>
        <v>0</v>
      </c>
    </row>
    <row r="47" customFormat="false" ht="15" hidden="false" customHeight="false" outlineLevel="0" collapsed="false">
      <c r="A47" s="0" t="s">
        <v>95</v>
      </c>
      <c r="B47" s="15" t="n">
        <f aca="false">D21+1</f>
        <v>30</v>
      </c>
      <c r="C47" s="15" t="n">
        <f aca="false">B47</f>
        <v>30</v>
      </c>
      <c r="D47" s="15" t="n">
        <f aca="false">C47+Assumptions!$B$5-1</f>
        <v>41</v>
      </c>
      <c r="E47" s="10" t="n">
        <f aca="false">G47+H47-I47</f>
        <v>252747</v>
      </c>
      <c r="F47" s="10" t="n">
        <f aca="false">E21*Assumptions!$B$26</f>
        <v>29970</v>
      </c>
      <c r="G47" s="10" t="n">
        <f aca="false">E21-F47</f>
        <v>219780</v>
      </c>
      <c r="H47" s="10" t="n">
        <f aca="false">G47*Assumptions!$B$27</f>
        <v>39560.4</v>
      </c>
      <c r="I47" s="10" t="n">
        <f aca="false">G47*Assumptions!$B$28</f>
        <v>6593.4</v>
      </c>
      <c r="J47" s="10" t="n">
        <f aca="false">IF(AND(J$4&gt;=$C47,J$4&lt;=$D47),$E47/Assumptions!$B$5,0)</f>
        <v>0</v>
      </c>
      <c r="K47" s="10" t="n">
        <f aca="false">IF(AND(K$4&gt;=$C47,K$4&lt;=$D47),$E47/Assumptions!$B$5,0)</f>
        <v>0</v>
      </c>
      <c r="L47" s="10" t="n">
        <f aca="false">IF(AND(L$4&gt;=$C47,L$4&lt;=$D47),$E47/Assumptions!$B$5,0)</f>
        <v>0</v>
      </c>
      <c r="M47" s="10" t="n">
        <f aca="false">IF(AND(M$4&gt;=$C47,M$4&lt;=$D47),$E47/Assumptions!$B$5,0)</f>
        <v>0</v>
      </c>
      <c r="N47" s="10" t="n">
        <f aca="false">IF(AND(N$4&gt;=$C47,N$4&lt;=$D47),$E47/Assumptions!$B$5,0)</f>
        <v>0</v>
      </c>
      <c r="O47" s="10" t="n">
        <f aca="false">IF(AND(O$4&gt;=$C47,O$4&lt;=$D47),$E47/Assumptions!$B$5,0)</f>
        <v>0</v>
      </c>
      <c r="P47" s="10" t="n">
        <f aca="false">IF(AND(P$4&gt;=$C47,P$4&lt;=$D47),$E47/Assumptions!$B$5,0)</f>
        <v>0</v>
      </c>
      <c r="Q47" s="10" t="n">
        <f aca="false">IF(AND(Q$4&gt;=$C47,Q$4&lt;=$D47),$E47/Assumptions!$B$5,0)</f>
        <v>0</v>
      </c>
      <c r="R47" s="10" t="n">
        <f aca="false">IF(AND(R$4&gt;=$C47,R$4&lt;=$D47),$E47/Assumptions!$B$5,0)</f>
        <v>0</v>
      </c>
      <c r="S47" s="10" t="n">
        <f aca="false">IF(AND(S$4&gt;=$C47,S$4&lt;=$D47),$E47/Assumptions!$B$5,0)</f>
        <v>0</v>
      </c>
      <c r="T47" s="10" t="n">
        <f aca="false">IF(AND(T$4&gt;=$C47,T$4&lt;=$D47),$E47/Assumptions!$B$5,0)</f>
        <v>0</v>
      </c>
      <c r="U47" s="10" t="n">
        <f aca="false">IF(AND(U$4&gt;=$C47,U$4&lt;=$D47),$E47/Assumptions!$B$5,0)</f>
        <v>0</v>
      </c>
      <c r="V47" s="10" t="n">
        <f aca="false">IF(AND(V$4&gt;=$C47,V$4&lt;=$D47),$E47/Assumptions!$B$5,0)</f>
        <v>0</v>
      </c>
      <c r="W47" s="10" t="n">
        <f aca="false">IF(AND(W$4&gt;=$C47,W$4&lt;=$D47),$E47/Assumptions!$B$5,0)</f>
        <v>0</v>
      </c>
      <c r="X47" s="10" t="n">
        <f aca="false">IF(AND(X$4&gt;=$C47,X$4&lt;=$D47),$E47/Assumptions!$B$5,0)</f>
        <v>0</v>
      </c>
      <c r="Y47" s="10" t="n">
        <f aca="false">IF(AND(Y$4&gt;=$C47,Y$4&lt;=$D47),$E47/Assumptions!$B$5,0)</f>
        <v>0</v>
      </c>
      <c r="Z47" s="10" t="n">
        <f aca="false">IF(AND(Z$4&gt;=$C47,Z$4&lt;=$D47),$E47/Assumptions!$B$5,0)</f>
        <v>0</v>
      </c>
      <c r="AA47" s="10" t="n">
        <f aca="false">IF(AND(AA$4&gt;=$C47,AA$4&lt;=$D47),$E47/Assumptions!$B$5,0)</f>
        <v>0</v>
      </c>
      <c r="AB47" s="10" t="n">
        <f aca="false">IF(AND(AB$4&gt;=$C47,AB$4&lt;=$D47),$E47/Assumptions!$B$5,0)</f>
        <v>0</v>
      </c>
      <c r="AC47" s="10" t="n">
        <f aca="false">IF(AND(AC$4&gt;=$C47,AC$4&lt;=$D47),$E47/Assumptions!$B$5,0)</f>
        <v>0</v>
      </c>
      <c r="AD47" s="10" t="n">
        <f aca="false">IF(AND(AD$4&gt;=$C47,AD$4&lt;=$D47),$E47/Assumptions!$B$5,0)</f>
        <v>0</v>
      </c>
      <c r="AE47" s="10" t="n">
        <f aca="false">IF(AND(AE$4&gt;=$C47,AE$4&lt;=$D47),$E47/Assumptions!$B$5,0)</f>
        <v>0</v>
      </c>
      <c r="AF47" s="10" t="n">
        <f aca="false">IF(AND(AF$4&gt;=$C47,AF$4&lt;=$D47),$E47/Assumptions!$B$5,0)</f>
        <v>0</v>
      </c>
      <c r="AG47" s="10" t="n">
        <f aca="false">IF(AND(AG$4&gt;=$C47,AG$4&lt;=$D47),$E47/Assumptions!$B$5,0)</f>
        <v>0</v>
      </c>
    </row>
    <row r="48" customFormat="false" ht="15" hidden="false" customHeight="false" outlineLevel="0" collapsed="false">
      <c r="A48" s="0" t="s">
        <v>96</v>
      </c>
      <c r="B48" s="15" t="n">
        <f aca="false">D22+1</f>
        <v>31</v>
      </c>
      <c r="C48" s="15" t="n">
        <f aca="false">B48</f>
        <v>31</v>
      </c>
      <c r="D48" s="15" t="n">
        <f aca="false">C48+Assumptions!$B$5-1</f>
        <v>42</v>
      </c>
      <c r="E48" s="10" t="n">
        <f aca="false">G48+H48-I48</f>
        <v>252747</v>
      </c>
      <c r="F48" s="10" t="n">
        <f aca="false">E22*Assumptions!$B$26</f>
        <v>29970</v>
      </c>
      <c r="G48" s="10" t="n">
        <f aca="false">E22-F48</f>
        <v>219780</v>
      </c>
      <c r="H48" s="10" t="n">
        <f aca="false">G48*Assumptions!$B$27</f>
        <v>39560.4</v>
      </c>
      <c r="I48" s="10" t="n">
        <f aca="false">G48*Assumptions!$B$28</f>
        <v>6593.4</v>
      </c>
      <c r="J48" s="10" t="n">
        <f aca="false">IF(AND(J$4&gt;=$C48,J$4&lt;=$D48),$E48/Assumptions!$B$5,0)</f>
        <v>0</v>
      </c>
      <c r="K48" s="10" t="n">
        <f aca="false">IF(AND(K$4&gt;=$C48,K$4&lt;=$D48),$E48/Assumptions!$B$5,0)</f>
        <v>0</v>
      </c>
      <c r="L48" s="10" t="n">
        <f aca="false">IF(AND(L$4&gt;=$C48,L$4&lt;=$D48),$E48/Assumptions!$B$5,0)</f>
        <v>0</v>
      </c>
      <c r="M48" s="10" t="n">
        <f aca="false">IF(AND(M$4&gt;=$C48,M$4&lt;=$D48),$E48/Assumptions!$B$5,0)</f>
        <v>0</v>
      </c>
      <c r="N48" s="10" t="n">
        <f aca="false">IF(AND(N$4&gt;=$C48,N$4&lt;=$D48),$E48/Assumptions!$B$5,0)</f>
        <v>0</v>
      </c>
      <c r="O48" s="10" t="n">
        <f aca="false">IF(AND(O$4&gt;=$C48,O$4&lt;=$D48),$E48/Assumptions!$B$5,0)</f>
        <v>0</v>
      </c>
      <c r="P48" s="10" t="n">
        <f aca="false">IF(AND(P$4&gt;=$C48,P$4&lt;=$D48),$E48/Assumptions!$B$5,0)</f>
        <v>0</v>
      </c>
      <c r="Q48" s="10" t="n">
        <f aca="false">IF(AND(Q$4&gt;=$C48,Q$4&lt;=$D48),$E48/Assumptions!$B$5,0)</f>
        <v>0</v>
      </c>
      <c r="R48" s="10" t="n">
        <f aca="false">IF(AND(R$4&gt;=$C48,R$4&lt;=$D48),$E48/Assumptions!$B$5,0)</f>
        <v>0</v>
      </c>
      <c r="S48" s="10" t="n">
        <f aca="false">IF(AND(S$4&gt;=$C48,S$4&lt;=$D48),$E48/Assumptions!$B$5,0)</f>
        <v>0</v>
      </c>
      <c r="T48" s="10" t="n">
        <f aca="false">IF(AND(T$4&gt;=$C48,T$4&lt;=$D48),$E48/Assumptions!$B$5,0)</f>
        <v>0</v>
      </c>
      <c r="U48" s="10" t="n">
        <f aca="false">IF(AND(U$4&gt;=$C48,U$4&lt;=$D48),$E48/Assumptions!$B$5,0)</f>
        <v>0</v>
      </c>
      <c r="V48" s="10" t="n">
        <f aca="false">IF(AND(V$4&gt;=$C48,V$4&lt;=$D48),$E48/Assumptions!$B$5,0)</f>
        <v>0</v>
      </c>
      <c r="W48" s="10" t="n">
        <f aca="false">IF(AND(W$4&gt;=$C48,W$4&lt;=$D48),$E48/Assumptions!$B$5,0)</f>
        <v>0</v>
      </c>
      <c r="X48" s="10" t="n">
        <f aca="false">IF(AND(X$4&gt;=$C48,X$4&lt;=$D48),$E48/Assumptions!$B$5,0)</f>
        <v>0</v>
      </c>
      <c r="Y48" s="10" t="n">
        <f aca="false">IF(AND(Y$4&gt;=$C48,Y$4&lt;=$D48),$E48/Assumptions!$B$5,0)</f>
        <v>0</v>
      </c>
      <c r="Z48" s="10" t="n">
        <f aca="false">IF(AND(Z$4&gt;=$C48,Z$4&lt;=$D48),$E48/Assumptions!$B$5,0)</f>
        <v>0</v>
      </c>
      <c r="AA48" s="10" t="n">
        <f aca="false">IF(AND(AA$4&gt;=$C48,AA$4&lt;=$D48),$E48/Assumptions!$B$5,0)</f>
        <v>0</v>
      </c>
      <c r="AB48" s="10" t="n">
        <f aca="false">IF(AND(AB$4&gt;=$C48,AB$4&lt;=$D48),$E48/Assumptions!$B$5,0)</f>
        <v>0</v>
      </c>
      <c r="AC48" s="10" t="n">
        <f aca="false">IF(AND(AC$4&gt;=$C48,AC$4&lt;=$D48),$E48/Assumptions!$B$5,0)</f>
        <v>0</v>
      </c>
      <c r="AD48" s="10" t="n">
        <f aca="false">IF(AND(AD$4&gt;=$C48,AD$4&lt;=$D48),$E48/Assumptions!$B$5,0)</f>
        <v>0</v>
      </c>
      <c r="AE48" s="10" t="n">
        <f aca="false">IF(AND(AE$4&gt;=$C48,AE$4&lt;=$D48),$E48/Assumptions!$B$5,0)</f>
        <v>0</v>
      </c>
      <c r="AF48" s="10" t="n">
        <f aca="false">IF(AND(AF$4&gt;=$C48,AF$4&lt;=$D48),$E48/Assumptions!$B$5,0)</f>
        <v>0</v>
      </c>
      <c r="AG48" s="10" t="n">
        <f aca="false">IF(AND(AG$4&gt;=$C48,AG$4&lt;=$D48),$E48/Assumptions!$B$5,0)</f>
        <v>0</v>
      </c>
    </row>
    <row r="49" customFormat="false" ht="15" hidden="false" customHeight="false" outlineLevel="0" collapsed="false">
      <c r="A49" s="0" t="s">
        <v>97</v>
      </c>
      <c r="B49" s="15" t="n">
        <f aca="false">D23+1</f>
        <v>32</v>
      </c>
      <c r="C49" s="15" t="n">
        <f aca="false">B49</f>
        <v>32</v>
      </c>
      <c r="D49" s="15" t="n">
        <f aca="false">C49+Assumptions!$B$5-1</f>
        <v>43</v>
      </c>
      <c r="E49" s="10" t="n">
        <f aca="false">G49+H49-I49</f>
        <v>252747</v>
      </c>
      <c r="F49" s="10" t="n">
        <f aca="false">E23*Assumptions!$B$26</f>
        <v>29970</v>
      </c>
      <c r="G49" s="10" t="n">
        <f aca="false">E23-F49</f>
        <v>219780</v>
      </c>
      <c r="H49" s="10" t="n">
        <f aca="false">G49*Assumptions!$B$27</f>
        <v>39560.4</v>
      </c>
      <c r="I49" s="10" t="n">
        <f aca="false">G49*Assumptions!$B$28</f>
        <v>6593.4</v>
      </c>
      <c r="J49" s="10" t="n">
        <f aca="false">IF(AND(J$4&gt;=$C49,J$4&lt;=$D49),$E49/Assumptions!$B$5,0)</f>
        <v>0</v>
      </c>
      <c r="K49" s="10" t="n">
        <f aca="false">IF(AND(K$4&gt;=$C49,K$4&lt;=$D49),$E49/Assumptions!$B$5,0)</f>
        <v>0</v>
      </c>
      <c r="L49" s="10" t="n">
        <f aca="false">IF(AND(L$4&gt;=$C49,L$4&lt;=$D49),$E49/Assumptions!$B$5,0)</f>
        <v>0</v>
      </c>
      <c r="M49" s="10" t="n">
        <f aca="false">IF(AND(M$4&gt;=$C49,M$4&lt;=$D49),$E49/Assumptions!$B$5,0)</f>
        <v>0</v>
      </c>
      <c r="N49" s="10" t="n">
        <f aca="false">IF(AND(N$4&gt;=$C49,N$4&lt;=$D49),$E49/Assumptions!$B$5,0)</f>
        <v>0</v>
      </c>
      <c r="O49" s="10" t="n">
        <f aca="false">IF(AND(O$4&gt;=$C49,O$4&lt;=$D49),$E49/Assumptions!$B$5,0)</f>
        <v>0</v>
      </c>
      <c r="P49" s="10" t="n">
        <f aca="false">IF(AND(P$4&gt;=$C49,P$4&lt;=$D49),$E49/Assumptions!$B$5,0)</f>
        <v>0</v>
      </c>
      <c r="Q49" s="10" t="n">
        <f aca="false">IF(AND(Q$4&gt;=$C49,Q$4&lt;=$D49),$E49/Assumptions!$B$5,0)</f>
        <v>0</v>
      </c>
      <c r="R49" s="10" t="n">
        <f aca="false">IF(AND(R$4&gt;=$C49,R$4&lt;=$D49),$E49/Assumptions!$B$5,0)</f>
        <v>0</v>
      </c>
      <c r="S49" s="10" t="n">
        <f aca="false">IF(AND(S$4&gt;=$C49,S$4&lt;=$D49),$E49/Assumptions!$B$5,0)</f>
        <v>0</v>
      </c>
      <c r="T49" s="10" t="n">
        <f aca="false">IF(AND(T$4&gt;=$C49,T$4&lt;=$D49),$E49/Assumptions!$B$5,0)</f>
        <v>0</v>
      </c>
      <c r="U49" s="10" t="n">
        <f aca="false">IF(AND(U$4&gt;=$C49,U$4&lt;=$D49),$E49/Assumptions!$B$5,0)</f>
        <v>0</v>
      </c>
      <c r="V49" s="10" t="n">
        <f aca="false">IF(AND(V$4&gt;=$C49,V$4&lt;=$D49),$E49/Assumptions!$B$5,0)</f>
        <v>0</v>
      </c>
      <c r="W49" s="10" t="n">
        <f aca="false">IF(AND(W$4&gt;=$C49,W$4&lt;=$D49),$E49/Assumptions!$B$5,0)</f>
        <v>0</v>
      </c>
      <c r="X49" s="10" t="n">
        <f aca="false">IF(AND(X$4&gt;=$C49,X$4&lt;=$D49),$E49/Assumptions!$B$5,0)</f>
        <v>0</v>
      </c>
      <c r="Y49" s="10" t="n">
        <f aca="false">IF(AND(Y$4&gt;=$C49,Y$4&lt;=$D49),$E49/Assumptions!$B$5,0)</f>
        <v>0</v>
      </c>
      <c r="Z49" s="10" t="n">
        <f aca="false">IF(AND(Z$4&gt;=$C49,Z$4&lt;=$D49),$E49/Assumptions!$B$5,0)</f>
        <v>0</v>
      </c>
      <c r="AA49" s="10" t="n">
        <f aca="false">IF(AND(AA$4&gt;=$C49,AA$4&lt;=$D49),$E49/Assumptions!$B$5,0)</f>
        <v>0</v>
      </c>
      <c r="AB49" s="10" t="n">
        <f aca="false">IF(AND(AB$4&gt;=$C49,AB$4&lt;=$D49),$E49/Assumptions!$B$5,0)</f>
        <v>0</v>
      </c>
      <c r="AC49" s="10" t="n">
        <f aca="false">IF(AND(AC$4&gt;=$C49,AC$4&lt;=$D49),$E49/Assumptions!$B$5,0)</f>
        <v>0</v>
      </c>
      <c r="AD49" s="10" t="n">
        <f aca="false">IF(AND(AD$4&gt;=$C49,AD$4&lt;=$D49),$E49/Assumptions!$B$5,0)</f>
        <v>0</v>
      </c>
      <c r="AE49" s="10" t="n">
        <f aca="false">IF(AND(AE$4&gt;=$C49,AE$4&lt;=$D49),$E49/Assumptions!$B$5,0)</f>
        <v>0</v>
      </c>
      <c r="AF49" s="10" t="n">
        <f aca="false">IF(AND(AF$4&gt;=$C49,AF$4&lt;=$D49),$E49/Assumptions!$B$5,0)</f>
        <v>0</v>
      </c>
      <c r="AG49" s="10" t="n">
        <f aca="false">IF(AND(AG$4&gt;=$C49,AG$4&lt;=$D49),$E49/Assumptions!$B$5,0)</f>
        <v>0</v>
      </c>
    </row>
    <row r="50" customFormat="false" ht="15" hidden="false" customHeight="false" outlineLevel="0" collapsed="false">
      <c r="A50" s="0" t="s">
        <v>98</v>
      </c>
      <c r="B50" s="15" t="n">
        <f aca="false">D24+1</f>
        <v>33</v>
      </c>
      <c r="C50" s="15" t="n">
        <f aca="false">B50</f>
        <v>33</v>
      </c>
      <c r="D50" s="15" t="n">
        <f aca="false">C50+Assumptions!$B$5-1</f>
        <v>44</v>
      </c>
      <c r="E50" s="10" t="n">
        <f aca="false">G50+H50-I50</f>
        <v>252747</v>
      </c>
      <c r="F50" s="10" t="n">
        <f aca="false">E24*Assumptions!$B$26</f>
        <v>29970</v>
      </c>
      <c r="G50" s="10" t="n">
        <f aca="false">E24-F50</f>
        <v>219780</v>
      </c>
      <c r="H50" s="10" t="n">
        <f aca="false">G50*Assumptions!$B$27</f>
        <v>39560.4</v>
      </c>
      <c r="I50" s="10" t="n">
        <f aca="false">G50*Assumptions!$B$28</f>
        <v>6593.4</v>
      </c>
      <c r="J50" s="10" t="n">
        <f aca="false">IF(AND(J$4&gt;=$C50,J$4&lt;=$D50),$E50/Assumptions!$B$5,0)</f>
        <v>0</v>
      </c>
      <c r="K50" s="10" t="n">
        <f aca="false">IF(AND(K$4&gt;=$C50,K$4&lt;=$D50),$E50/Assumptions!$B$5,0)</f>
        <v>0</v>
      </c>
      <c r="L50" s="10" t="n">
        <f aca="false">IF(AND(L$4&gt;=$C50,L$4&lt;=$D50),$E50/Assumptions!$B$5,0)</f>
        <v>0</v>
      </c>
      <c r="M50" s="10" t="n">
        <f aca="false">IF(AND(M$4&gt;=$C50,M$4&lt;=$D50),$E50/Assumptions!$B$5,0)</f>
        <v>0</v>
      </c>
      <c r="N50" s="10" t="n">
        <f aca="false">IF(AND(N$4&gt;=$C50,N$4&lt;=$D50),$E50/Assumptions!$B$5,0)</f>
        <v>0</v>
      </c>
      <c r="O50" s="10" t="n">
        <f aca="false">IF(AND(O$4&gt;=$C50,O$4&lt;=$D50),$E50/Assumptions!$B$5,0)</f>
        <v>0</v>
      </c>
      <c r="P50" s="10" t="n">
        <f aca="false">IF(AND(P$4&gt;=$C50,P$4&lt;=$D50),$E50/Assumptions!$B$5,0)</f>
        <v>0</v>
      </c>
      <c r="Q50" s="10" t="n">
        <f aca="false">IF(AND(Q$4&gt;=$C50,Q$4&lt;=$D50),$E50/Assumptions!$B$5,0)</f>
        <v>0</v>
      </c>
      <c r="R50" s="10" t="n">
        <f aca="false">IF(AND(R$4&gt;=$C50,R$4&lt;=$D50),$E50/Assumptions!$B$5,0)</f>
        <v>0</v>
      </c>
      <c r="S50" s="10" t="n">
        <f aca="false">IF(AND(S$4&gt;=$C50,S$4&lt;=$D50),$E50/Assumptions!$B$5,0)</f>
        <v>0</v>
      </c>
      <c r="T50" s="10" t="n">
        <f aca="false">IF(AND(T$4&gt;=$C50,T$4&lt;=$D50),$E50/Assumptions!$B$5,0)</f>
        <v>0</v>
      </c>
      <c r="U50" s="10" t="n">
        <f aca="false">IF(AND(U$4&gt;=$C50,U$4&lt;=$D50),$E50/Assumptions!$B$5,0)</f>
        <v>0</v>
      </c>
      <c r="V50" s="10" t="n">
        <f aca="false">IF(AND(V$4&gt;=$C50,V$4&lt;=$D50),$E50/Assumptions!$B$5,0)</f>
        <v>0</v>
      </c>
      <c r="W50" s="10" t="n">
        <f aca="false">IF(AND(W$4&gt;=$C50,W$4&lt;=$D50),$E50/Assumptions!$B$5,0)</f>
        <v>0</v>
      </c>
      <c r="X50" s="10" t="n">
        <f aca="false">IF(AND(X$4&gt;=$C50,X$4&lt;=$D50),$E50/Assumptions!$B$5,0)</f>
        <v>0</v>
      </c>
      <c r="Y50" s="10" t="n">
        <f aca="false">IF(AND(Y$4&gt;=$C50,Y$4&lt;=$D50),$E50/Assumptions!$B$5,0)</f>
        <v>0</v>
      </c>
      <c r="Z50" s="10" t="n">
        <f aca="false">IF(AND(Z$4&gt;=$C50,Z$4&lt;=$D50),$E50/Assumptions!$B$5,0)</f>
        <v>0</v>
      </c>
      <c r="AA50" s="10" t="n">
        <f aca="false">IF(AND(AA$4&gt;=$C50,AA$4&lt;=$D50),$E50/Assumptions!$B$5,0)</f>
        <v>0</v>
      </c>
      <c r="AB50" s="10" t="n">
        <f aca="false">IF(AND(AB$4&gt;=$C50,AB$4&lt;=$D50),$E50/Assumptions!$B$5,0)</f>
        <v>0</v>
      </c>
      <c r="AC50" s="10" t="n">
        <f aca="false">IF(AND(AC$4&gt;=$C50,AC$4&lt;=$D50),$E50/Assumptions!$B$5,0)</f>
        <v>0</v>
      </c>
      <c r="AD50" s="10" t="n">
        <f aca="false">IF(AND(AD$4&gt;=$C50,AD$4&lt;=$D50),$E50/Assumptions!$B$5,0)</f>
        <v>0</v>
      </c>
      <c r="AE50" s="10" t="n">
        <f aca="false">IF(AND(AE$4&gt;=$C50,AE$4&lt;=$D50),$E50/Assumptions!$B$5,0)</f>
        <v>0</v>
      </c>
      <c r="AF50" s="10" t="n">
        <f aca="false">IF(AND(AF$4&gt;=$C50,AF$4&lt;=$D50),$E50/Assumptions!$B$5,0)</f>
        <v>0</v>
      </c>
      <c r="AG50" s="10" t="n">
        <f aca="false">IF(AND(AG$4&gt;=$C50,AG$4&lt;=$D50),$E50/Assumptions!$B$5,0)</f>
        <v>0</v>
      </c>
    </row>
    <row r="51" customFormat="false" ht="15" hidden="false" customHeight="false" outlineLevel="0" collapsed="false">
      <c r="A51" s="0" t="s">
        <v>99</v>
      </c>
      <c r="B51" s="15" t="n">
        <f aca="false">D25+1</f>
        <v>34</v>
      </c>
      <c r="C51" s="15" t="n">
        <f aca="false">B51</f>
        <v>34</v>
      </c>
      <c r="D51" s="15" t="n">
        <f aca="false">C51+Assumptions!$B$5-1</f>
        <v>45</v>
      </c>
      <c r="E51" s="10" t="n">
        <f aca="false">G51+H51-I51</f>
        <v>252747</v>
      </c>
      <c r="F51" s="10" t="n">
        <f aca="false">E25*Assumptions!$B$26</f>
        <v>29970</v>
      </c>
      <c r="G51" s="10" t="n">
        <f aca="false">E25-F51</f>
        <v>219780</v>
      </c>
      <c r="H51" s="10" t="n">
        <f aca="false">G51*Assumptions!$B$27</f>
        <v>39560.4</v>
      </c>
      <c r="I51" s="10" t="n">
        <f aca="false">G51*Assumptions!$B$28</f>
        <v>6593.4</v>
      </c>
      <c r="J51" s="10" t="n">
        <f aca="false">IF(AND(J$4&gt;=$C51,J$4&lt;=$D51),$E51/Assumptions!$B$5,0)</f>
        <v>0</v>
      </c>
      <c r="K51" s="10" t="n">
        <f aca="false">IF(AND(K$4&gt;=$C51,K$4&lt;=$D51),$E51/Assumptions!$B$5,0)</f>
        <v>0</v>
      </c>
      <c r="L51" s="10" t="n">
        <f aca="false">IF(AND(L$4&gt;=$C51,L$4&lt;=$D51),$E51/Assumptions!$B$5,0)</f>
        <v>0</v>
      </c>
      <c r="M51" s="10" t="n">
        <f aca="false">IF(AND(M$4&gt;=$C51,M$4&lt;=$D51),$E51/Assumptions!$B$5,0)</f>
        <v>0</v>
      </c>
      <c r="N51" s="10" t="n">
        <f aca="false">IF(AND(N$4&gt;=$C51,N$4&lt;=$D51),$E51/Assumptions!$B$5,0)</f>
        <v>0</v>
      </c>
      <c r="O51" s="10" t="n">
        <f aca="false">IF(AND(O$4&gt;=$C51,O$4&lt;=$D51),$E51/Assumptions!$B$5,0)</f>
        <v>0</v>
      </c>
      <c r="P51" s="10" t="n">
        <f aca="false">IF(AND(P$4&gt;=$C51,P$4&lt;=$D51),$E51/Assumptions!$B$5,0)</f>
        <v>0</v>
      </c>
      <c r="Q51" s="10" t="n">
        <f aca="false">IF(AND(Q$4&gt;=$C51,Q$4&lt;=$D51),$E51/Assumptions!$B$5,0)</f>
        <v>0</v>
      </c>
      <c r="R51" s="10" t="n">
        <f aca="false">IF(AND(R$4&gt;=$C51,R$4&lt;=$D51),$E51/Assumptions!$B$5,0)</f>
        <v>0</v>
      </c>
      <c r="S51" s="10" t="n">
        <f aca="false">IF(AND(S$4&gt;=$C51,S$4&lt;=$D51),$E51/Assumptions!$B$5,0)</f>
        <v>0</v>
      </c>
      <c r="T51" s="10" t="n">
        <f aca="false">IF(AND(T$4&gt;=$C51,T$4&lt;=$D51),$E51/Assumptions!$B$5,0)</f>
        <v>0</v>
      </c>
      <c r="U51" s="10" t="n">
        <f aca="false">IF(AND(U$4&gt;=$C51,U$4&lt;=$D51),$E51/Assumptions!$B$5,0)</f>
        <v>0</v>
      </c>
      <c r="V51" s="10" t="n">
        <f aca="false">IF(AND(V$4&gt;=$C51,V$4&lt;=$D51),$E51/Assumptions!$B$5,0)</f>
        <v>0</v>
      </c>
      <c r="W51" s="10" t="n">
        <f aca="false">IF(AND(W$4&gt;=$C51,W$4&lt;=$D51),$E51/Assumptions!$B$5,0)</f>
        <v>0</v>
      </c>
      <c r="X51" s="10" t="n">
        <f aca="false">IF(AND(X$4&gt;=$C51,X$4&lt;=$D51),$E51/Assumptions!$B$5,0)</f>
        <v>0</v>
      </c>
      <c r="Y51" s="10" t="n">
        <f aca="false">IF(AND(Y$4&gt;=$C51,Y$4&lt;=$D51),$E51/Assumptions!$B$5,0)</f>
        <v>0</v>
      </c>
      <c r="Z51" s="10" t="n">
        <f aca="false">IF(AND(Z$4&gt;=$C51,Z$4&lt;=$D51),$E51/Assumptions!$B$5,0)</f>
        <v>0</v>
      </c>
      <c r="AA51" s="10" t="n">
        <f aca="false">IF(AND(AA$4&gt;=$C51,AA$4&lt;=$D51),$E51/Assumptions!$B$5,0)</f>
        <v>0</v>
      </c>
      <c r="AB51" s="10" t="n">
        <f aca="false">IF(AND(AB$4&gt;=$C51,AB$4&lt;=$D51),$E51/Assumptions!$B$5,0)</f>
        <v>0</v>
      </c>
      <c r="AC51" s="10" t="n">
        <f aca="false">IF(AND(AC$4&gt;=$C51,AC$4&lt;=$D51),$E51/Assumptions!$B$5,0)</f>
        <v>0</v>
      </c>
      <c r="AD51" s="10" t="n">
        <f aca="false">IF(AND(AD$4&gt;=$C51,AD$4&lt;=$D51),$E51/Assumptions!$B$5,0)</f>
        <v>0</v>
      </c>
      <c r="AE51" s="10" t="n">
        <f aca="false">IF(AND(AE$4&gt;=$C51,AE$4&lt;=$D51),$E51/Assumptions!$B$5,0)</f>
        <v>0</v>
      </c>
      <c r="AF51" s="10" t="n">
        <f aca="false">IF(AND(AF$4&gt;=$C51,AF$4&lt;=$D51),$E51/Assumptions!$B$5,0)</f>
        <v>0</v>
      </c>
      <c r="AG51" s="10" t="n">
        <f aca="false">IF(AND(AG$4&gt;=$C51,AG$4&lt;=$D51),$E51/Assumptions!$B$5,0)</f>
        <v>0</v>
      </c>
    </row>
    <row r="52" customFormat="false" ht="15" hidden="false" customHeight="false" outlineLevel="0" collapsed="false">
      <c r="A52" s="0" t="s">
        <v>100</v>
      </c>
      <c r="B52" s="15" t="n">
        <f aca="false">D26+1</f>
        <v>35</v>
      </c>
      <c r="C52" s="15" t="n">
        <f aca="false">B52</f>
        <v>35</v>
      </c>
      <c r="D52" s="15" t="n">
        <f aca="false">C52+Assumptions!$B$5-1</f>
        <v>46</v>
      </c>
      <c r="E52" s="10" t="n">
        <f aca="false">G52+H52-I52</f>
        <v>252747</v>
      </c>
      <c r="F52" s="10" t="n">
        <f aca="false">E26*Assumptions!$B$26</f>
        <v>29970</v>
      </c>
      <c r="G52" s="10" t="n">
        <f aca="false">E26-F52</f>
        <v>219780</v>
      </c>
      <c r="H52" s="10" t="n">
        <f aca="false">G52*Assumptions!$B$27</f>
        <v>39560.4</v>
      </c>
      <c r="I52" s="10" t="n">
        <f aca="false">G52*Assumptions!$B$28</f>
        <v>6593.4</v>
      </c>
      <c r="J52" s="10" t="n">
        <f aca="false">IF(AND(J$4&gt;=$C52,J$4&lt;=$D52),$E52/Assumptions!$B$5,0)</f>
        <v>0</v>
      </c>
      <c r="K52" s="10" t="n">
        <f aca="false">IF(AND(K$4&gt;=$C52,K$4&lt;=$D52),$E52/Assumptions!$B$5,0)</f>
        <v>0</v>
      </c>
      <c r="L52" s="10" t="n">
        <f aca="false">IF(AND(L$4&gt;=$C52,L$4&lt;=$D52),$E52/Assumptions!$B$5,0)</f>
        <v>0</v>
      </c>
      <c r="M52" s="10" t="n">
        <f aca="false">IF(AND(M$4&gt;=$C52,M$4&lt;=$D52),$E52/Assumptions!$B$5,0)</f>
        <v>0</v>
      </c>
      <c r="N52" s="10" t="n">
        <f aca="false">IF(AND(N$4&gt;=$C52,N$4&lt;=$D52),$E52/Assumptions!$B$5,0)</f>
        <v>0</v>
      </c>
      <c r="O52" s="10" t="n">
        <f aca="false">IF(AND(O$4&gt;=$C52,O$4&lt;=$D52),$E52/Assumptions!$B$5,0)</f>
        <v>0</v>
      </c>
      <c r="P52" s="10" t="n">
        <f aca="false">IF(AND(P$4&gt;=$C52,P$4&lt;=$D52),$E52/Assumptions!$B$5,0)</f>
        <v>0</v>
      </c>
      <c r="Q52" s="10" t="n">
        <f aca="false">IF(AND(Q$4&gt;=$C52,Q$4&lt;=$D52),$E52/Assumptions!$B$5,0)</f>
        <v>0</v>
      </c>
      <c r="R52" s="10" t="n">
        <f aca="false">IF(AND(R$4&gt;=$C52,R$4&lt;=$D52),$E52/Assumptions!$B$5,0)</f>
        <v>0</v>
      </c>
      <c r="S52" s="10" t="n">
        <f aca="false">IF(AND(S$4&gt;=$C52,S$4&lt;=$D52),$E52/Assumptions!$B$5,0)</f>
        <v>0</v>
      </c>
      <c r="T52" s="10" t="n">
        <f aca="false">IF(AND(T$4&gt;=$C52,T$4&lt;=$D52),$E52/Assumptions!$B$5,0)</f>
        <v>0</v>
      </c>
      <c r="U52" s="10" t="n">
        <f aca="false">IF(AND(U$4&gt;=$C52,U$4&lt;=$D52),$E52/Assumptions!$B$5,0)</f>
        <v>0</v>
      </c>
      <c r="V52" s="10" t="n">
        <f aca="false">IF(AND(V$4&gt;=$C52,V$4&lt;=$D52),$E52/Assumptions!$B$5,0)</f>
        <v>0</v>
      </c>
      <c r="W52" s="10" t="n">
        <f aca="false">IF(AND(W$4&gt;=$C52,W$4&lt;=$D52),$E52/Assumptions!$B$5,0)</f>
        <v>0</v>
      </c>
      <c r="X52" s="10" t="n">
        <f aca="false">IF(AND(X$4&gt;=$C52,X$4&lt;=$D52),$E52/Assumptions!$B$5,0)</f>
        <v>0</v>
      </c>
      <c r="Y52" s="10" t="n">
        <f aca="false">IF(AND(Y$4&gt;=$C52,Y$4&lt;=$D52),$E52/Assumptions!$B$5,0)</f>
        <v>0</v>
      </c>
      <c r="Z52" s="10" t="n">
        <f aca="false">IF(AND(Z$4&gt;=$C52,Z$4&lt;=$D52),$E52/Assumptions!$B$5,0)</f>
        <v>0</v>
      </c>
      <c r="AA52" s="10" t="n">
        <f aca="false">IF(AND(AA$4&gt;=$C52,AA$4&lt;=$D52),$E52/Assumptions!$B$5,0)</f>
        <v>0</v>
      </c>
      <c r="AB52" s="10" t="n">
        <f aca="false">IF(AND(AB$4&gt;=$C52,AB$4&lt;=$D52),$E52/Assumptions!$B$5,0)</f>
        <v>0</v>
      </c>
      <c r="AC52" s="10" t="n">
        <f aca="false">IF(AND(AC$4&gt;=$C52,AC$4&lt;=$D52),$E52/Assumptions!$B$5,0)</f>
        <v>0</v>
      </c>
      <c r="AD52" s="10" t="n">
        <f aca="false">IF(AND(AD$4&gt;=$C52,AD$4&lt;=$D52),$E52/Assumptions!$B$5,0)</f>
        <v>0</v>
      </c>
      <c r="AE52" s="10" t="n">
        <f aca="false">IF(AND(AE$4&gt;=$C52,AE$4&lt;=$D52),$E52/Assumptions!$B$5,0)</f>
        <v>0</v>
      </c>
      <c r="AF52" s="10" t="n">
        <f aca="false">IF(AND(AF$4&gt;=$C52,AF$4&lt;=$D52),$E52/Assumptions!$B$5,0)</f>
        <v>0</v>
      </c>
      <c r="AG52" s="10" t="n">
        <f aca="false">IF(AND(AG$4&gt;=$C52,AG$4&lt;=$D52),$E52/Assumptions!$B$5,0)</f>
        <v>0</v>
      </c>
    </row>
    <row r="53" customFormat="false" ht="15" hidden="false" customHeight="false" outlineLevel="0" collapsed="false">
      <c r="A53" s="0" t="s">
        <v>101</v>
      </c>
      <c r="B53" s="15" t="n">
        <f aca="false">D27+1</f>
        <v>36</v>
      </c>
      <c r="C53" s="15" t="n">
        <f aca="false">B53</f>
        <v>36</v>
      </c>
      <c r="D53" s="15" t="n">
        <f aca="false">C53+Assumptions!$B$5-1</f>
        <v>47</v>
      </c>
      <c r="E53" s="10" t="n">
        <f aca="false">G53+H53-I53</f>
        <v>252747</v>
      </c>
      <c r="F53" s="10" t="n">
        <f aca="false">E27*Assumptions!$B$26</f>
        <v>29970</v>
      </c>
      <c r="G53" s="10" t="n">
        <f aca="false">E27-F53</f>
        <v>219780</v>
      </c>
      <c r="H53" s="10" t="n">
        <f aca="false">G53*Assumptions!$B$27</f>
        <v>39560.4</v>
      </c>
      <c r="I53" s="10" t="n">
        <f aca="false">G53*Assumptions!$B$28</f>
        <v>6593.4</v>
      </c>
      <c r="J53" s="10" t="n">
        <f aca="false">IF(AND(J$4&gt;=$C53,J$4&lt;=$D53),$E53/Assumptions!$B$5,0)</f>
        <v>0</v>
      </c>
      <c r="K53" s="10" t="n">
        <f aca="false">IF(AND(K$4&gt;=$C53,K$4&lt;=$D53),$E53/Assumptions!$B$5,0)</f>
        <v>0</v>
      </c>
      <c r="L53" s="10" t="n">
        <f aca="false">IF(AND(L$4&gt;=$C53,L$4&lt;=$D53),$E53/Assumptions!$B$5,0)</f>
        <v>0</v>
      </c>
      <c r="M53" s="10" t="n">
        <f aca="false">IF(AND(M$4&gt;=$C53,M$4&lt;=$D53),$E53/Assumptions!$B$5,0)</f>
        <v>0</v>
      </c>
      <c r="N53" s="10" t="n">
        <f aca="false">IF(AND(N$4&gt;=$C53,N$4&lt;=$D53),$E53/Assumptions!$B$5,0)</f>
        <v>0</v>
      </c>
      <c r="O53" s="10" t="n">
        <f aca="false">IF(AND(O$4&gt;=$C53,O$4&lt;=$D53),$E53/Assumptions!$B$5,0)</f>
        <v>0</v>
      </c>
      <c r="P53" s="10" t="n">
        <f aca="false">IF(AND(P$4&gt;=$C53,P$4&lt;=$D53),$E53/Assumptions!$B$5,0)</f>
        <v>0</v>
      </c>
      <c r="Q53" s="10" t="n">
        <f aca="false">IF(AND(Q$4&gt;=$C53,Q$4&lt;=$D53),$E53/Assumptions!$B$5,0)</f>
        <v>0</v>
      </c>
      <c r="R53" s="10" t="n">
        <f aca="false">IF(AND(R$4&gt;=$C53,R$4&lt;=$D53),$E53/Assumptions!$B$5,0)</f>
        <v>0</v>
      </c>
      <c r="S53" s="10" t="n">
        <f aca="false">IF(AND(S$4&gt;=$C53,S$4&lt;=$D53),$E53/Assumptions!$B$5,0)</f>
        <v>0</v>
      </c>
      <c r="T53" s="10" t="n">
        <f aca="false">IF(AND(T$4&gt;=$C53,T$4&lt;=$D53),$E53/Assumptions!$B$5,0)</f>
        <v>0</v>
      </c>
      <c r="U53" s="10" t="n">
        <f aca="false">IF(AND(U$4&gt;=$C53,U$4&lt;=$D53),$E53/Assumptions!$B$5,0)</f>
        <v>0</v>
      </c>
      <c r="V53" s="10" t="n">
        <f aca="false">IF(AND(V$4&gt;=$C53,V$4&lt;=$D53),$E53/Assumptions!$B$5,0)</f>
        <v>0</v>
      </c>
      <c r="W53" s="10" t="n">
        <f aca="false">IF(AND(W$4&gt;=$C53,W$4&lt;=$D53),$E53/Assumptions!$B$5,0)</f>
        <v>0</v>
      </c>
      <c r="X53" s="10" t="n">
        <f aca="false">IF(AND(X$4&gt;=$C53,X$4&lt;=$D53),$E53/Assumptions!$B$5,0)</f>
        <v>0</v>
      </c>
      <c r="Y53" s="10" t="n">
        <f aca="false">IF(AND(Y$4&gt;=$C53,Y$4&lt;=$D53),$E53/Assumptions!$B$5,0)</f>
        <v>0</v>
      </c>
      <c r="Z53" s="10" t="n">
        <f aca="false">IF(AND(Z$4&gt;=$C53,Z$4&lt;=$D53),$E53/Assumptions!$B$5,0)</f>
        <v>0</v>
      </c>
      <c r="AA53" s="10" t="n">
        <f aca="false">IF(AND(AA$4&gt;=$C53,AA$4&lt;=$D53),$E53/Assumptions!$B$5,0)</f>
        <v>0</v>
      </c>
      <c r="AB53" s="10" t="n">
        <f aca="false">IF(AND(AB$4&gt;=$C53,AB$4&lt;=$D53),$E53/Assumptions!$B$5,0)</f>
        <v>0</v>
      </c>
      <c r="AC53" s="10" t="n">
        <f aca="false">IF(AND(AC$4&gt;=$C53,AC$4&lt;=$D53),$E53/Assumptions!$B$5,0)</f>
        <v>0</v>
      </c>
      <c r="AD53" s="10" t="n">
        <f aca="false">IF(AND(AD$4&gt;=$C53,AD$4&lt;=$D53),$E53/Assumptions!$B$5,0)</f>
        <v>0</v>
      </c>
      <c r="AE53" s="10" t="n">
        <f aca="false">IF(AND(AE$4&gt;=$C53,AE$4&lt;=$D53),$E53/Assumptions!$B$5,0)</f>
        <v>0</v>
      </c>
      <c r="AF53" s="10" t="n">
        <f aca="false">IF(AND(AF$4&gt;=$C53,AF$4&lt;=$D53),$E53/Assumptions!$B$5,0)</f>
        <v>0</v>
      </c>
      <c r="AG53" s="10" t="n">
        <f aca="false">IF(AND(AG$4&gt;=$C53,AG$4&lt;=$D53),$E53/Assumptions!$B$5,0)</f>
        <v>0</v>
      </c>
    </row>
    <row r="54" customFormat="false" ht="15" hidden="false" customHeight="false" outlineLevel="0" collapsed="false">
      <c r="A54" s="0" t="s">
        <v>102</v>
      </c>
      <c r="B54" s="15" t="n">
        <f aca="false">D28+1</f>
        <v>37</v>
      </c>
      <c r="C54" s="15" t="n">
        <f aca="false">B54</f>
        <v>37</v>
      </c>
      <c r="D54" s="15" t="n">
        <f aca="false">C54+Assumptions!$B$5-1</f>
        <v>48</v>
      </c>
      <c r="E54" s="10" t="n">
        <f aca="false">G54+H54-I54</f>
        <v>252747</v>
      </c>
      <c r="F54" s="10" t="n">
        <f aca="false">E28*Assumptions!$B$26</f>
        <v>29970</v>
      </c>
      <c r="G54" s="10" t="n">
        <f aca="false">E28-F54</f>
        <v>219780</v>
      </c>
      <c r="H54" s="10" t="n">
        <f aca="false">G54*Assumptions!$B$27</f>
        <v>39560.4</v>
      </c>
      <c r="I54" s="10" t="n">
        <f aca="false">G54*Assumptions!$B$28</f>
        <v>6593.4</v>
      </c>
      <c r="J54" s="10" t="n">
        <f aca="false">IF(AND(J$4&gt;=$C54,J$4&lt;=$D54),$E54/Assumptions!$B$5,0)</f>
        <v>0</v>
      </c>
      <c r="K54" s="10" t="n">
        <f aca="false">IF(AND(K$4&gt;=$C54,K$4&lt;=$D54),$E54/Assumptions!$B$5,0)</f>
        <v>0</v>
      </c>
      <c r="L54" s="10" t="n">
        <f aca="false">IF(AND(L$4&gt;=$C54,L$4&lt;=$D54),$E54/Assumptions!$B$5,0)</f>
        <v>0</v>
      </c>
      <c r="M54" s="10" t="n">
        <f aca="false">IF(AND(M$4&gt;=$C54,M$4&lt;=$D54),$E54/Assumptions!$B$5,0)</f>
        <v>0</v>
      </c>
      <c r="N54" s="10" t="n">
        <f aca="false">IF(AND(N$4&gt;=$C54,N$4&lt;=$D54),$E54/Assumptions!$B$5,0)</f>
        <v>0</v>
      </c>
      <c r="O54" s="10" t="n">
        <f aca="false">IF(AND(O$4&gt;=$C54,O$4&lt;=$D54),$E54/Assumptions!$B$5,0)</f>
        <v>0</v>
      </c>
      <c r="P54" s="10" t="n">
        <f aca="false">IF(AND(P$4&gt;=$C54,P$4&lt;=$D54),$E54/Assumptions!$B$5,0)</f>
        <v>0</v>
      </c>
      <c r="Q54" s="10" t="n">
        <f aca="false">IF(AND(Q$4&gt;=$C54,Q$4&lt;=$D54),$E54/Assumptions!$B$5,0)</f>
        <v>0</v>
      </c>
      <c r="R54" s="10" t="n">
        <f aca="false">IF(AND(R$4&gt;=$C54,R$4&lt;=$D54),$E54/Assumptions!$B$5,0)</f>
        <v>0</v>
      </c>
      <c r="S54" s="10" t="n">
        <f aca="false">IF(AND(S$4&gt;=$C54,S$4&lt;=$D54),$E54/Assumptions!$B$5,0)</f>
        <v>0</v>
      </c>
      <c r="T54" s="10" t="n">
        <f aca="false">IF(AND(T$4&gt;=$C54,T$4&lt;=$D54),$E54/Assumptions!$B$5,0)</f>
        <v>0</v>
      </c>
      <c r="U54" s="10" t="n">
        <f aca="false">IF(AND(U$4&gt;=$C54,U$4&lt;=$D54),$E54/Assumptions!$B$5,0)</f>
        <v>0</v>
      </c>
      <c r="V54" s="10" t="n">
        <f aca="false">IF(AND(V$4&gt;=$C54,V$4&lt;=$D54),$E54/Assumptions!$B$5,0)</f>
        <v>0</v>
      </c>
      <c r="W54" s="10" t="n">
        <f aca="false">IF(AND(W$4&gt;=$C54,W$4&lt;=$D54),$E54/Assumptions!$B$5,0)</f>
        <v>0</v>
      </c>
      <c r="X54" s="10" t="n">
        <f aca="false">IF(AND(X$4&gt;=$C54,X$4&lt;=$D54),$E54/Assumptions!$B$5,0)</f>
        <v>0</v>
      </c>
      <c r="Y54" s="10" t="n">
        <f aca="false">IF(AND(Y$4&gt;=$C54,Y$4&lt;=$D54),$E54/Assumptions!$B$5,0)</f>
        <v>0</v>
      </c>
      <c r="Z54" s="10" t="n">
        <f aca="false">IF(AND(Z$4&gt;=$C54,Z$4&lt;=$D54),$E54/Assumptions!$B$5,0)</f>
        <v>0</v>
      </c>
      <c r="AA54" s="10" t="n">
        <f aca="false">IF(AND(AA$4&gt;=$C54,AA$4&lt;=$D54),$E54/Assumptions!$B$5,0)</f>
        <v>0</v>
      </c>
      <c r="AB54" s="10" t="n">
        <f aca="false">IF(AND(AB$4&gt;=$C54,AB$4&lt;=$D54),$E54/Assumptions!$B$5,0)</f>
        <v>0</v>
      </c>
      <c r="AC54" s="10" t="n">
        <f aca="false">IF(AND(AC$4&gt;=$C54,AC$4&lt;=$D54),$E54/Assumptions!$B$5,0)</f>
        <v>0</v>
      </c>
      <c r="AD54" s="10" t="n">
        <f aca="false">IF(AND(AD$4&gt;=$C54,AD$4&lt;=$D54),$E54/Assumptions!$B$5,0)</f>
        <v>0</v>
      </c>
      <c r="AE54" s="10" t="n">
        <f aca="false">IF(AND(AE$4&gt;=$C54,AE$4&lt;=$D54),$E54/Assumptions!$B$5,0)</f>
        <v>0</v>
      </c>
      <c r="AF54" s="10" t="n">
        <f aca="false">IF(AND(AF$4&gt;=$C54,AF$4&lt;=$D54),$E54/Assumptions!$B$5,0)</f>
        <v>0</v>
      </c>
      <c r="AG54" s="10" t="n">
        <f aca="false">IF(AND(AG$4&gt;=$C54,AG$4&lt;=$D54),$E54/Assumptions!$B$5,0)</f>
        <v>0</v>
      </c>
    </row>
    <row r="55" customFormat="false" ht="15" hidden="false" customHeight="false" outlineLevel="0" collapsed="false">
      <c r="A55" s="0" t="s">
        <v>103</v>
      </c>
      <c r="B55" s="15" t="n">
        <f aca="false">D29+1</f>
        <v>38</v>
      </c>
      <c r="C55" s="15" t="n">
        <f aca="false">B55</f>
        <v>38</v>
      </c>
      <c r="D55" s="15" t="n">
        <f aca="false">C55+Assumptions!$B$5-1</f>
        <v>49</v>
      </c>
      <c r="E55" s="10" t="n">
        <f aca="false">G55+H55-I55</f>
        <v>252747</v>
      </c>
      <c r="F55" s="10" t="n">
        <f aca="false">E29*Assumptions!$B$26</f>
        <v>29970</v>
      </c>
      <c r="G55" s="10" t="n">
        <f aca="false">E29-F55</f>
        <v>219780</v>
      </c>
      <c r="H55" s="10" t="n">
        <f aca="false">G55*Assumptions!$B$27</f>
        <v>39560.4</v>
      </c>
      <c r="I55" s="10" t="n">
        <f aca="false">G55*Assumptions!$B$28</f>
        <v>6593.4</v>
      </c>
      <c r="J55" s="10" t="n">
        <f aca="false">IF(AND(J$4&gt;=$C55,J$4&lt;=$D55),$E55/Assumptions!$B$5,0)</f>
        <v>0</v>
      </c>
      <c r="K55" s="10" t="n">
        <f aca="false">IF(AND(K$4&gt;=$C55,K$4&lt;=$D55),$E55/Assumptions!$B$5,0)</f>
        <v>0</v>
      </c>
      <c r="L55" s="10" t="n">
        <f aca="false">IF(AND(L$4&gt;=$C55,L$4&lt;=$D55),$E55/Assumptions!$B$5,0)</f>
        <v>0</v>
      </c>
      <c r="M55" s="10" t="n">
        <f aca="false">IF(AND(M$4&gt;=$C55,M$4&lt;=$D55),$E55/Assumptions!$B$5,0)</f>
        <v>0</v>
      </c>
      <c r="N55" s="10" t="n">
        <f aca="false">IF(AND(N$4&gt;=$C55,N$4&lt;=$D55),$E55/Assumptions!$B$5,0)</f>
        <v>0</v>
      </c>
      <c r="O55" s="10" t="n">
        <f aca="false">IF(AND(O$4&gt;=$C55,O$4&lt;=$D55),$E55/Assumptions!$B$5,0)</f>
        <v>0</v>
      </c>
      <c r="P55" s="10" t="n">
        <f aca="false">IF(AND(P$4&gt;=$C55,P$4&lt;=$D55),$E55/Assumptions!$B$5,0)</f>
        <v>0</v>
      </c>
      <c r="Q55" s="10" t="n">
        <f aca="false">IF(AND(Q$4&gt;=$C55,Q$4&lt;=$D55),$E55/Assumptions!$B$5,0)</f>
        <v>0</v>
      </c>
      <c r="R55" s="10" t="n">
        <f aca="false">IF(AND(R$4&gt;=$C55,R$4&lt;=$D55),$E55/Assumptions!$B$5,0)</f>
        <v>0</v>
      </c>
      <c r="S55" s="10" t="n">
        <f aca="false">IF(AND(S$4&gt;=$C55,S$4&lt;=$D55),$E55/Assumptions!$B$5,0)</f>
        <v>0</v>
      </c>
      <c r="T55" s="10" t="n">
        <f aca="false">IF(AND(T$4&gt;=$C55,T$4&lt;=$D55),$E55/Assumptions!$B$5,0)</f>
        <v>0</v>
      </c>
      <c r="U55" s="10" t="n">
        <f aca="false">IF(AND(U$4&gt;=$C55,U$4&lt;=$D55),$E55/Assumptions!$B$5,0)</f>
        <v>0</v>
      </c>
      <c r="V55" s="10" t="n">
        <f aca="false">IF(AND(V$4&gt;=$C55,V$4&lt;=$D55),$E55/Assumptions!$B$5,0)</f>
        <v>0</v>
      </c>
      <c r="W55" s="10" t="n">
        <f aca="false">IF(AND(W$4&gt;=$C55,W$4&lt;=$D55),$E55/Assumptions!$B$5,0)</f>
        <v>0</v>
      </c>
      <c r="X55" s="10" t="n">
        <f aca="false">IF(AND(X$4&gt;=$C55,X$4&lt;=$D55),$E55/Assumptions!$B$5,0)</f>
        <v>0</v>
      </c>
      <c r="Y55" s="10" t="n">
        <f aca="false">IF(AND(Y$4&gt;=$C55,Y$4&lt;=$D55),$E55/Assumptions!$B$5,0)</f>
        <v>0</v>
      </c>
      <c r="Z55" s="10" t="n">
        <f aca="false">IF(AND(Z$4&gt;=$C55,Z$4&lt;=$D55),$E55/Assumptions!$B$5,0)</f>
        <v>0</v>
      </c>
      <c r="AA55" s="10" t="n">
        <f aca="false">IF(AND(AA$4&gt;=$C55,AA$4&lt;=$D55),$E55/Assumptions!$B$5,0)</f>
        <v>0</v>
      </c>
      <c r="AB55" s="10" t="n">
        <f aca="false">IF(AND(AB$4&gt;=$C55,AB$4&lt;=$D55),$E55/Assumptions!$B$5,0)</f>
        <v>0</v>
      </c>
      <c r="AC55" s="10" t="n">
        <f aca="false">IF(AND(AC$4&gt;=$C55,AC$4&lt;=$D55),$E55/Assumptions!$B$5,0)</f>
        <v>0</v>
      </c>
      <c r="AD55" s="10" t="n">
        <f aca="false">IF(AND(AD$4&gt;=$C55,AD$4&lt;=$D55),$E55/Assumptions!$B$5,0)</f>
        <v>0</v>
      </c>
      <c r="AE55" s="10" t="n">
        <f aca="false">IF(AND(AE$4&gt;=$C55,AE$4&lt;=$D55),$E55/Assumptions!$B$5,0)</f>
        <v>0</v>
      </c>
      <c r="AF55" s="10" t="n">
        <f aca="false">IF(AND(AF$4&gt;=$C55,AF$4&lt;=$D55),$E55/Assumptions!$B$5,0)</f>
        <v>0</v>
      </c>
      <c r="AG55" s="10" t="n">
        <f aca="false">IF(AND(AG$4&gt;=$C55,AG$4&lt;=$D55),$E55/Assumptions!$B$5,0)</f>
        <v>0</v>
      </c>
    </row>
    <row r="57" customFormat="false" ht="15" hidden="false" customHeight="false" outlineLevel="0" collapsed="false">
      <c r="A57" s="6" t="s">
        <v>104</v>
      </c>
      <c r="J57" s="11" t="n">
        <f aca="false">J6+J7+J8+J9+J10+J11+J12+J13+J14+J15+J16+J17+J18+J19+J20+J21+J22+J23+J24+J25+J26+J27+J28+J29+J32+J33+J34+J35+J36+J37+J38+J39+J40+J41+J42+J43+J44+J45+J46+J47+J48+J49+J50+J51+J52+J53+J54+J55</f>
        <v>0</v>
      </c>
      <c r="K57" s="11" t="n">
        <f aca="false">K6+K7+K8+K9+K10+K11+K12+K13+K14+K15+K16+K17+K18+K19+K20+K21+K22+K23+K24+K25+K26+K27+K28+K29+K32+K33+K34+K35+K36+K37+K38+K39+K40+K41+K42+K43+K44+K45+K46+K47+K48+K49+K50+K51+K52+K53+K54+K55</f>
        <v>0</v>
      </c>
      <c r="L57" s="11" t="n">
        <f aca="false">L6+L7+L8+L9+L10+L11+L12+L13+L14+L15+L16+L17+L18+L19+L20+L21+L22+L23+L24+L25+L26+L27+L28+L29+L32+L33+L34+L35+L36+L37+L38+L39+L40+L41+L42+L43+L44+L45+L46+L47+L48+L49+L50+L51+L52+L53+L54+L55</f>
        <v>15277.7777777778</v>
      </c>
      <c r="M57" s="11" t="n">
        <f aca="false">M6+M7+M8+M9+M10+M11+M12+M13+M14+M15+M16+M17+M18+M19+M20+M21+M22+M23+M24+M25+M26+M27+M28+M29+M32+M33+M34+M35+M36+M37+M38+M39+M40+M41+M42+M43+M44+M45+M46+M47+M48+M49+M50+M51+M52+M53+M54+M55</f>
        <v>30555.5555555556</v>
      </c>
      <c r="N57" s="11" t="n">
        <f aca="false">N6+N7+N8+N9+N10+N11+N12+N13+N14+N15+N16+N17+N18+N19+N20+N21+N22+N23+N24+N25+N26+N27+N28+N29+N32+N33+N34+N35+N36+N37+N38+N39+N40+N41+N42+N43+N44+N45+N46+N47+N48+N49+N50+N51+N52+N53+N54+N55</f>
        <v>45833.3333333333</v>
      </c>
      <c r="O57" s="11" t="n">
        <f aca="false">O6+O7+O8+O9+O10+O11+O12+O13+O14+O15+O16+O17+O18+O19+O20+O21+O22+O23+O24+O25+O26+O27+O28+O29+O32+O33+O34+O35+O36+O37+O38+O39+O40+O41+O42+O43+O44+O45+O46+O47+O48+O49+O50+O51+O52+O53+O54+O55</f>
        <v>63631.9444444445</v>
      </c>
      <c r="P57" s="11" t="n">
        <f aca="false">P6+P7+P8+P9+P10+P11+P12+P13+P14+P15+P16+P17+P18+P19+P20+P21+P22+P23+P24+P25+P26+P27+P28+P29+P32+P33+P34+P35+P36+P37+P38+P39+P40+P41+P42+P43+P44+P45+P46+P47+P48+P49+P50+P51+P52+P53+P54+P55</f>
        <v>83951.3888888889</v>
      </c>
      <c r="Q57" s="11" t="n">
        <f aca="false">Q6+Q7+Q8+Q9+Q10+Q11+Q12+Q13+Q14+Q15+Q16+Q17+Q18+Q19+Q20+Q21+Q22+Q23+Q24+Q25+Q26+Q27+Q28+Q29+Q32+Q33+Q34+Q35+Q36+Q37+Q38+Q39+Q40+Q41+Q42+Q43+Q44+Q45+Q46+Q47+Q48+Q49+Q50+Q51+Q52+Q53+Q54+Q55</f>
        <v>104763.888888889</v>
      </c>
      <c r="R57" s="11" t="n">
        <f aca="false">R6+R7+R8+R9+R10+R11+R12+R13+R14+R15+R16+R17+R18+R19+R20+R21+R22+R23+R24+R25+R26+R27+R28+R29+R32+R33+R34+R35+R36+R37+R38+R39+R40+R41+R42+R43+R44+R45+R46+R47+R48+R49+R50+R51+R52+R53+R54+R55</f>
        <v>125576.388888889</v>
      </c>
      <c r="S57" s="11" t="n">
        <f aca="false">S6+S7+S8+S9+S10+S11+S12+S13+S14+S15+S16+S17+S18+S19+S20+S21+S22+S23+S24+S25+S26+S27+S28+S29+S32+S33+S34+S35+S36+S37+S38+S39+S40+S41+S42+S43+S44+S45+S46+S47+S48+S49+S50+S51+S52+S53+S54+S55</f>
        <v>146388.888888889</v>
      </c>
      <c r="T57" s="11" t="n">
        <f aca="false">T6+T7+T8+T9+T10+T11+T12+T13+T14+T15+T16+T17+T18+T19+T20+T21+T22+T23+T24+T25+T26+T27+T28+T29+T32+T33+T34+T35+T36+T37+T38+T39+T40+T41+T42+T43+T44+T45+T46+T47+T48+T49+T50+T51+T52+T53+T54+T55</f>
        <v>167201.388888889</v>
      </c>
      <c r="U57" s="11" t="n">
        <f aca="false">U6+U7+U8+U9+U10+U11+U12+U13+U14+U15+U16+U17+U18+U19+U20+U21+U22+U23+U24+U25+U26+U27+U28+U29+U32+U33+U34+U35+U36+U37+U38+U39+U40+U41+U42+U43+U44+U45+U46+U47+U48+U49+U50+U51+U52+U53+U54+U55</f>
        <v>188013.888888889</v>
      </c>
      <c r="V57" s="11" t="n">
        <f aca="false">V6+V7+V8+V9+V10+V11+V12+V13+V14+V15+V16+V17+V18+V19+V20+V21+V22+V23+V24+V25+V26+V27+V28+V29+V32+V33+V34+V35+V36+V37+V38+V39+V40+V41+V42+V43+V44+V45+V46+V47+V48+V49+V50+V51+V52+V53+V54+V55</f>
        <v>208826.388888889</v>
      </c>
      <c r="W57" s="11" t="n">
        <f aca="false">W6+W7+W8+W9+W10+W11+W12+W13+W14+W15+W16+W17+W18+W19+W20+W21+W22+W23+W24+W25+W26+W27+W28+W29+W32+W33+W34+W35+W36+W37+W38+W39+W40+W41+W42+W43+W44+W45+W46+W47+W48+W49+W50+W51+W52+W53+W54+W55</f>
        <v>229638.888888889</v>
      </c>
      <c r="X57" s="11" t="n">
        <f aca="false">X6+X7+X8+X9+X10+X11+X12+X13+X14+X15+X16+X17+X18+X19+X20+X21+X22+X23+X24+X25+X26+X27+X28+X29+X32+X33+X34+X35+X36+X37+X38+X39+X40+X41+X42+X43+X44+X45+X46+X47+X48+X49+X50+X51+X52+X53+X54+X55</f>
        <v>250634.722222222</v>
      </c>
      <c r="Y57" s="11" t="n">
        <f aca="false">Y6+Y7+Y8+Y9+Y10+Y11+Y12+Y13+Y14+Y15+Y16+Y17+Y18+Y19+Y20+Y21+Y22+Y23+Y24+Y25+Y26+Y27+Y28+Y29+Y32+Y33+Y34+Y35+Y36+Y37+Y38+Y39+Y40+Y41+Y42+Y43+Y44+Y45+Y46+Y47+Y48+Y49+Y50+Y51+Y52+Y53+Y54+Y55</f>
        <v>271630.555555556</v>
      </c>
      <c r="Z57" s="11" t="n">
        <f aca="false">Z6+Z7+Z8+Z9+Z10+Z11+Z12+Z13+Z14+Z15+Z16+Z17+Z18+Z19+Z20+Z21+Z22+Z23+Z24+Z25+Z26+Z27+Z28+Z29+Z32+Z33+Z34+Z35+Z36+Z37+Z38+Z39+Z40+Z41+Z42+Z43+Z44+Z45+Z46+Z47+Z48+Z49+Z50+Z51+Z52+Z53+Z54+Z55</f>
        <v>292626.388888889</v>
      </c>
      <c r="AA57" s="11" t="n">
        <f aca="false">AA6+AA7+AA8+AA9+AA10+AA11+AA12+AA13+AA14+AA15+AA16+AA17+AA18+AA19+AA20+AA21+AA22+AA23+AA24+AA25+AA26+AA27+AA28+AA29+AA32+AA33+AA34+AA35+AA36+AA37+AA38+AA39+AA40+AA41+AA42+AA43+AA44+AA45+AA46+AA47+AA48+AA49+AA50+AA51+AA52+AA53+AA54+AA55</f>
        <v>313652.472222222</v>
      </c>
      <c r="AB57" s="11" t="n">
        <f aca="false">AB6+AB7+AB8+AB9+AB10+AB11+AB12+AB13+AB14+AB15+AB16+AB17+AB18+AB19+AB20+AB21+AB22+AB23+AB24+AB25+AB26+AB27+AB28+AB29+AB32+AB33+AB34+AB35+AB36+AB37+AB38+AB39+AB40+AB41+AB42+AB43+AB44+AB45+AB46+AB47+AB48+AB49+AB50+AB51+AB52+AB53+AB54+AB55</f>
        <v>334708.805555556</v>
      </c>
      <c r="AC57" s="11" t="n">
        <f aca="false">AC6+AC7+AC8+AC9+AC10+AC11+AC12+AC13+AC14+AC15+AC16+AC17+AC18+AC19+AC20+AC21+AC22+AC23+AC24+AC25+AC26+AC27+AC28+AC29+AC32+AC33+AC34+AC35+AC36+AC37+AC38+AC39+AC40+AC41+AC42+AC43+AC44+AC45+AC46+AC47+AC48+AC49+AC50+AC51+AC52+AC53+AC54+AC55</f>
        <v>355771.055555556</v>
      </c>
      <c r="AD57" s="11" t="n">
        <f aca="false">AD6+AD7+AD8+AD9+AD10+AD11+AD12+AD13+AD14+AD15+AD16+AD17+AD18+AD19+AD20+AD21+AD22+AD23+AD24+AD25+AD26+AD27+AD28+AD29+AD32+AD33+AD34+AD35+AD36+AD37+AD38+AD39+AD40+AD41+AD42+AD43+AD44+AD45+AD46+AD47+AD48+AD49+AD50+AD51+AD52+AD53+AD54+AD55</f>
        <v>376833.305555556</v>
      </c>
      <c r="AE57" s="11" t="n">
        <f aca="false">AE6+AE7+AE8+AE9+AE10+AE11+AE12+AE13+AE14+AE15+AE16+AE17+AE18+AE19+AE20+AE21+AE22+AE23+AE24+AE25+AE26+AE27+AE28+AE29+AE32+AE33+AE34+AE35+AE36+AE37+AE38+AE39+AE40+AE41+AE42+AE43+AE44+AE45+AE46+AE47+AE48+AE49+AE50+AE51+AE52+AE53+AE54+AE55</f>
        <v>397895.555555556</v>
      </c>
      <c r="AF57" s="11" t="n">
        <f aca="false">AF6+AF7+AF8+AF9+AF10+AF11+AF12+AF13+AF14+AF15+AF16+AF17+AF18+AF19+AF20+AF21+AF22+AF23+AF24+AF25+AF26+AF27+AF28+AF29+AF32+AF33+AF34+AF35+AF36+AF37+AF38+AF39+AF40+AF41+AF42+AF43+AF44+AF45+AF46+AF47+AF48+AF49+AF50+AF51+AF52+AF53+AF54+AF55</f>
        <v>418957.805555556</v>
      </c>
      <c r="AG57" s="11" t="n">
        <f aca="false">AG6+AG7+AG8+AG9+AG10+AG11+AG12+AG13+AG14+AG15+AG16+AG17+AG18+AG19+AG20+AG21+AG22+AG23+AG24+AG25+AG26+AG27+AG28+AG29+AG32+AG33+AG34+AG35+AG36+AG37+AG38+AG39+AG40+AG41+AG42+AG43+AG44+AG45+AG46+AG47+AG48+AG49+AG50+AG51+AG52+AG53+AG54+AG55</f>
        <v>440020.055555556</v>
      </c>
    </row>
    <row r="58" customFormat="false" ht="15" hidden="false" customHeight="false" outlineLevel="0" collapsed="false">
      <c r="A58" s="6" t="s">
        <v>105</v>
      </c>
      <c r="J58" s="11" t="n">
        <f aca="false">IF(AND(J$4&gt;=$C6,J$4&lt;=$D6),$E6,0)+IF(AND(J$4&gt;=$C7,J$4&lt;=$D7),$E7,0)+IF(AND(J$4&gt;=$C8,J$4&lt;=$D8),$E8,0)+IF(AND(J$4&gt;=$C9,J$4&lt;=$D9),$E9,0)+IF(AND(J$4&gt;=$C10,J$4&lt;=$D10),$E10,0)+IF(AND(J$4&gt;=$C11,J$4&lt;=$D11),$E11,0)+IF(AND(J$4&gt;=$C12,J$4&lt;=$D12),$E12,0)+IF(AND(J$4&gt;=$C13,J$4&lt;=$D13),$E13,0)+IF(AND(J$4&gt;=$C14,J$4&lt;=$D14),$E14,0)+IF(AND(J$4&gt;=$C15,J$4&lt;=$D15),$E15,0)+IF(AND(J$4&gt;=$C16,J$4&lt;=$D16),$E16,0)+IF(AND(J$4&gt;=$C17,J$4&lt;=$D17),$E17,0)+IF(AND(J$4&gt;=$C18,J$4&lt;=$D18),$E18,0)+IF(AND(J$4&gt;=$C19,J$4&lt;=$D19),$E19,0)+IF(AND(J$4&gt;=$C20,J$4&lt;=$D20),$E20,0)+IF(AND(J$4&gt;=$C21,J$4&lt;=$D21),$E21,0)+IF(AND(J$4&gt;=$C22,J$4&lt;=$D22),$E22,0)+IF(AND(J$4&gt;=$C23,J$4&lt;=$D23),$E23,0)+IF(AND(J$4&gt;=$C24,J$4&lt;=$D24),$E24,0)+IF(AND(J$4&gt;=$C25,J$4&lt;=$D25),$E25,0)+IF(AND(J$4&gt;=$C26,J$4&lt;=$D26),$E26,0)+IF(AND(J$4&gt;=$C27,J$4&lt;=$D27),$E27,0)+IF(AND(J$4&gt;=$C28,J$4&lt;=$D28),$E28,0)+IF(AND(J$4&gt;=$C29,J$4&lt;=$D29),$E29,0)+IF(AND(J$4&gt;=$C32,J$4&lt;=$D32),$E32,0)+IF(AND(J$4&gt;=$C33,J$4&lt;=$D33),$E33,0)+IF(AND(J$4&gt;=$C34,J$4&lt;=$D34),$E34,0)+IF(AND(J$4&gt;=$C35,J$4&lt;=$D35),$E35,0)+IF(AND(J$4&gt;=$C36,J$4&lt;=$D36),$E36,0)+IF(AND(J$4&gt;=$C37,J$4&lt;=$D37),$E37,0)+IF(AND(J$4&gt;=$C38,J$4&lt;=$D38),$E38,0)+IF(AND(J$4&gt;=$C39,J$4&lt;=$D39),$E39,0)+IF(AND(J$4&gt;=$C40,J$4&lt;=$D40),$E40,0)+IF(AND(J$4&gt;=$C41,J$4&lt;=$D41),$E41,0)+IF(AND(J$4&gt;=$C42,J$4&lt;=$D42),$E42,0)+IF(AND(J$4&gt;=$C43,J$4&lt;=$D43),$E43,0)+IF(AND(J$4&gt;=$C44,J$4&lt;=$D44),$E44,0)+IF(AND(J$4&gt;=$C45,J$4&lt;=$D45),$E45,0)+IF(AND(J$4&gt;=$C46,J$4&lt;=$D46),$E46,0)+IF(AND(J$4&gt;=$C47,J$4&lt;=$D47),$E47,0)+IF(AND(J$4&gt;=$C48,J$4&lt;=$D48),$E48,0)+IF(AND(J$4&gt;=$C49,J$4&lt;=$D49),$E49,0)+IF(AND(J$4&gt;=$C50,J$4&lt;=$D50),$E50,0)+IF(AND(J$4&gt;=$C51,J$4&lt;=$D51),$E51,0)+IF(AND(J$4&gt;=$C52,J$4&lt;=$D52),$E52,0)+IF(AND(J$4&gt;=$C53,J$4&lt;=$D53),$E53,0)+IF(AND(J$4&gt;=$C54,J$4&lt;=$D54),$E54,0)+IF(AND(J$4&gt;=$C55,J$4&lt;=$D55),$E55,0)</f>
        <v>0</v>
      </c>
      <c r="K58" s="11" t="n">
        <f aca="false">IF(AND(K$4&gt;=$C6,K$4&lt;=$D6),$E6,0)+IF(AND(K$4&gt;=$C7,K$4&lt;=$D7),$E7,0)+IF(AND(K$4&gt;=$C8,K$4&lt;=$D8),$E8,0)+IF(AND(K$4&gt;=$C9,K$4&lt;=$D9),$E9,0)+IF(AND(K$4&gt;=$C10,K$4&lt;=$D10),$E10,0)+IF(AND(K$4&gt;=$C11,K$4&lt;=$D11),$E11,0)+IF(AND(K$4&gt;=$C12,K$4&lt;=$D12),$E12,0)+IF(AND(K$4&gt;=$C13,K$4&lt;=$D13),$E13,0)+IF(AND(K$4&gt;=$C14,K$4&lt;=$D14),$E14,0)+IF(AND(K$4&gt;=$C15,K$4&lt;=$D15),$E15,0)+IF(AND(K$4&gt;=$C16,K$4&lt;=$D16),$E16,0)+IF(AND(K$4&gt;=$C17,K$4&lt;=$D17),$E17,0)+IF(AND(K$4&gt;=$C18,K$4&lt;=$D18),$E18,0)+IF(AND(K$4&gt;=$C19,K$4&lt;=$D19),$E19,0)+IF(AND(K$4&gt;=$C20,K$4&lt;=$D20),$E20,0)+IF(AND(K$4&gt;=$C21,K$4&lt;=$D21),$E21,0)+IF(AND(K$4&gt;=$C22,K$4&lt;=$D22),$E22,0)+IF(AND(K$4&gt;=$C23,K$4&lt;=$D23),$E23,0)+IF(AND(K$4&gt;=$C24,K$4&lt;=$D24),$E24,0)+IF(AND(K$4&gt;=$C25,K$4&lt;=$D25),$E25,0)+IF(AND(K$4&gt;=$C26,K$4&lt;=$D26),$E26,0)+IF(AND(K$4&gt;=$C27,K$4&lt;=$D27),$E27,0)+IF(AND(K$4&gt;=$C28,K$4&lt;=$D28),$E28,0)+IF(AND(K$4&gt;=$C29,K$4&lt;=$D29),$E29,0)+IF(AND(K$4&gt;=$C32,K$4&lt;=$D32),$E32,0)+IF(AND(K$4&gt;=$C33,K$4&lt;=$D33),$E33,0)+IF(AND(K$4&gt;=$C34,K$4&lt;=$D34),$E34,0)+IF(AND(K$4&gt;=$C35,K$4&lt;=$D35),$E35,0)+IF(AND(K$4&gt;=$C36,K$4&lt;=$D36),$E36,0)+IF(AND(K$4&gt;=$C37,K$4&lt;=$D37),$E37,0)+IF(AND(K$4&gt;=$C38,K$4&lt;=$D38),$E38,0)+IF(AND(K$4&gt;=$C39,K$4&lt;=$D39),$E39,0)+IF(AND(K$4&gt;=$C40,K$4&lt;=$D40),$E40,0)+IF(AND(K$4&gt;=$C41,K$4&lt;=$D41),$E41,0)+IF(AND(K$4&gt;=$C42,K$4&lt;=$D42),$E42,0)+IF(AND(K$4&gt;=$C43,K$4&lt;=$D43),$E43,0)+IF(AND(K$4&gt;=$C44,K$4&lt;=$D44),$E44,0)+IF(AND(K$4&gt;=$C45,K$4&lt;=$D45),$E45,0)+IF(AND(K$4&gt;=$C46,K$4&lt;=$D46),$E46,0)+IF(AND(K$4&gt;=$C47,K$4&lt;=$D47),$E47,0)+IF(AND(K$4&gt;=$C48,K$4&lt;=$D48),$E48,0)+IF(AND(K$4&gt;=$C49,K$4&lt;=$D49),$E49,0)+IF(AND(K$4&gt;=$C50,K$4&lt;=$D50),$E50,0)+IF(AND(K$4&gt;=$C51,K$4&lt;=$D51),$E51,0)+IF(AND(K$4&gt;=$C52,K$4&lt;=$D52),$E52,0)+IF(AND(K$4&gt;=$C53,K$4&lt;=$D53),$E53,0)+IF(AND(K$4&gt;=$C54,K$4&lt;=$D54),$E54,0)+IF(AND(K$4&gt;=$C55,K$4&lt;=$D55),$E55,0)</f>
        <v>0</v>
      </c>
      <c r="L58" s="11" t="n">
        <f aca="false">IF(AND(L$4&gt;=$C6,L$4&lt;=$D6),$E6,0)+IF(AND(L$4&gt;=$C7,L$4&lt;=$D7),$E7,0)+IF(AND(L$4&gt;=$C8,L$4&lt;=$D8),$E8,0)+IF(AND(L$4&gt;=$C9,L$4&lt;=$D9),$E9,0)+IF(AND(L$4&gt;=$C10,L$4&lt;=$D10),$E10,0)+IF(AND(L$4&gt;=$C11,L$4&lt;=$D11),$E11,0)+IF(AND(L$4&gt;=$C12,L$4&lt;=$D12),$E12,0)+IF(AND(L$4&gt;=$C13,L$4&lt;=$D13),$E13,0)+IF(AND(L$4&gt;=$C14,L$4&lt;=$D14),$E14,0)+IF(AND(L$4&gt;=$C15,L$4&lt;=$D15),$E15,0)+IF(AND(L$4&gt;=$C16,L$4&lt;=$D16),$E16,0)+IF(AND(L$4&gt;=$C17,L$4&lt;=$D17),$E17,0)+IF(AND(L$4&gt;=$C18,L$4&lt;=$D18),$E18,0)+IF(AND(L$4&gt;=$C19,L$4&lt;=$D19),$E19,0)+IF(AND(L$4&gt;=$C20,L$4&lt;=$D20),$E20,0)+IF(AND(L$4&gt;=$C21,L$4&lt;=$D21),$E21,0)+IF(AND(L$4&gt;=$C22,L$4&lt;=$D22),$E22,0)+IF(AND(L$4&gt;=$C23,L$4&lt;=$D23),$E23,0)+IF(AND(L$4&gt;=$C24,L$4&lt;=$D24),$E24,0)+IF(AND(L$4&gt;=$C25,L$4&lt;=$D25),$E25,0)+IF(AND(L$4&gt;=$C26,L$4&lt;=$D26),$E26,0)+IF(AND(L$4&gt;=$C27,L$4&lt;=$D27),$E27,0)+IF(AND(L$4&gt;=$C28,L$4&lt;=$D28),$E28,0)+IF(AND(L$4&gt;=$C29,L$4&lt;=$D29),$E29,0)+IF(AND(L$4&gt;=$C32,L$4&lt;=$D32),$E32,0)+IF(AND(L$4&gt;=$C33,L$4&lt;=$D33),$E33,0)+IF(AND(L$4&gt;=$C34,L$4&lt;=$D34),$E34,0)+IF(AND(L$4&gt;=$C35,L$4&lt;=$D35),$E35,0)+IF(AND(L$4&gt;=$C36,L$4&lt;=$D36),$E36,0)+IF(AND(L$4&gt;=$C37,L$4&lt;=$D37),$E37,0)+IF(AND(L$4&gt;=$C38,L$4&lt;=$D38),$E38,0)+IF(AND(L$4&gt;=$C39,L$4&lt;=$D39),$E39,0)+IF(AND(L$4&gt;=$C40,L$4&lt;=$D40),$E40,0)+IF(AND(L$4&gt;=$C41,L$4&lt;=$D41),$E41,0)+IF(AND(L$4&gt;=$C42,L$4&lt;=$D42),$E42,0)+IF(AND(L$4&gt;=$C43,L$4&lt;=$D43),$E43,0)+IF(AND(L$4&gt;=$C44,L$4&lt;=$D44),$E44,0)+IF(AND(L$4&gt;=$C45,L$4&lt;=$D45),$E45,0)+IF(AND(L$4&gt;=$C46,L$4&lt;=$D46),$E46,0)+IF(AND(L$4&gt;=$C47,L$4&lt;=$D47),$E47,0)+IF(AND(L$4&gt;=$C48,L$4&lt;=$D48),$E48,0)+IF(AND(L$4&gt;=$C49,L$4&lt;=$D49),$E49,0)+IF(AND(L$4&gt;=$C50,L$4&lt;=$D50),$E50,0)+IF(AND(L$4&gt;=$C51,L$4&lt;=$D51),$E51,0)+IF(AND(L$4&gt;=$C52,L$4&lt;=$D52),$E52,0)+IF(AND(L$4&gt;=$C53,L$4&lt;=$D53),$E53,0)+IF(AND(L$4&gt;=$C54,L$4&lt;=$D54),$E54,0)+IF(AND(L$4&gt;=$C55,L$4&lt;=$D55),$E55,0)</f>
        <v>183333.333333333</v>
      </c>
      <c r="M58" s="11" t="n">
        <f aca="false">IF(AND(M$4&gt;=$C6,M$4&lt;=$D6),$E6,0)+IF(AND(M$4&gt;=$C7,M$4&lt;=$D7),$E7,0)+IF(AND(M$4&gt;=$C8,M$4&lt;=$D8),$E8,0)+IF(AND(M$4&gt;=$C9,M$4&lt;=$D9),$E9,0)+IF(AND(M$4&gt;=$C10,M$4&lt;=$D10),$E10,0)+IF(AND(M$4&gt;=$C11,M$4&lt;=$D11),$E11,0)+IF(AND(M$4&gt;=$C12,M$4&lt;=$D12),$E12,0)+IF(AND(M$4&gt;=$C13,M$4&lt;=$D13),$E13,0)+IF(AND(M$4&gt;=$C14,M$4&lt;=$D14),$E14,0)+IF(AND(M$4&gt;=$C15,M$4&lt;=$D15),$E15,0)+IF(AND(M$4&gt;=$C16,M$4&lt;=$D16),$E16,0)+IF(AND(M$4&gt;=$C17,M$4&lt;=$D17),$E17,0)+IF(AND(M$4&gt;=$C18,M$4&lt;=$D18),$E18,0)+IF(AND(M$4&gt;=$C19,M$4&lt;=$D19),$E19,0)+IF(AND(M$4&gt;=$C20,M$4&lt;=$D20),$E20,0)+IF(AND(M$4&gt;=$C21,M$4&lt;=$D21),$E21,0)+IF(AND(M$4&gt;=$C22,M$4&lt;=$D22),$E22,0)+IF(AND(M$4&gt;=$C23,M$4&lt;=$D23),$E23,0)+IF(AND(M$4&gt;=$C24,M$4&lt;=$D24),$E24,0)+IF(AND(M$4&gt;=$C25,M$4&lt;=$D25),$E25,0)+IF(AND(M$4&gt;=$C26,M$4&lt;=$D26),$E26,0)+IF(AND(M$4&gt;=$C27,M$4&lt;=$D27),$E27,0)+IF(AND(M$4&gt;=$C28,M$4&lt;=$D28),$E28,0)+IF(AND(M$4&gt;=$C29,M$4&lt;=$D29),$E29,0)+IF(AND(M$4&gt;=$C32,M$4&lt;=$D32),$E32,0)+IF(AND(M$4&gt;=$C33,M$4&lt;=$D33),$E33,0)+IF(AND(M$4&gt;=$C34,M$4&lt;=$D34),$E34,0)+IF(AND(M$4&gt;=$C35,M$4&lt;=$D35),$E35,0)+IF(AND(M$4&gt;=$C36,M$4&lt;=$D36),$E36,0)+IF(AND(M$4&gt;=$C37,M$4&lt;=$D37),$E37,0)+IF(AND(M$4&gt;=$C38,M$4&lt;=$D38),$E38,0)+IF(AND(M$4&gt;=$C39,M$4&lt;=$D39),$E39,0)+IF(AND(M$4&gt;=$C40,M$4&lt;=$D40),$E40,0)+IF(AND(M$4&gt;=$C41,M$4&lt;=$D41),$E41,0)+IF(AND(M$4&gt;=$C42,M$4&lt;=$D42),$E42,0)+IF(AND(M$4&gt;=$C43,M$4&lt;=$D43),$E43,0)+IF(AND(M$4&gt;=$C44,M$4&lt;=$D44),$E44,0)+IF(AND(M$4&gt;=$C45,M$4&lt;=$D45),$E45,0)+IF(AND(M$4&gt;=$C46,M$4&lt;=$D46),$E46,0)+IF(AND(M$4&gt;=$C47,M$4&lt;=$D47),$E47,0)+IF(AND(M$4&gt;=$C48,M$4&lt;=$D48),$E48,0)+IF(AND(M$4&gt;=$C49,M$4&lt;=$D49),$E49,0)+IF(AND(M$4&gt;=$C50,M$4&lt;=$D50),$E50,0)+IF(AND(M$4&gt;=$C51,M$4&lt;=$D51),$E51,0)+IF(AND(M$4&gt;=$C52,M$4&lt;=$D52),$E52,0)+IF(AND(M$4&gt;=$C53,M$4&lt;=$D53),$E53,0)+IF(AND(M$4&gt;=$C54,M$4&lt;=$D54),$E54,0)+IF(AND(M$4&gt;=$C55,M$4&lt;=$D55),$E55,0)</f>
        <v>366666.666666667</v>
      </c>
      <c r="N58" s="11" t="n">
        <f aca="false">IF(AND(N$4&gt;=$C6,N$4&lt;=$D6),$E6,0)+IF(AND(N$4&gt;=$C7,N$4&lt;=$D7),$E7,0)+IF(AND(N$4&gt;=$C8,N$4&lt;=$D8),$E8,0)+IF(AND(N$4&gt;=$C9,N$4&lt;=$D9),$E9,0)+IF(AND(N$4&gt;=$C10,N$4&lt;=$D10),$E10,0)+IF(AND(N$4&gt;=$C11,N$4&lt;=$D11),$E11,0)+IF(AND(N$4&gt;=$C12,N$4&lt;=$D12),$E12,0)+IF(AND(N$4&gt;=$C13,N$4&lt;=$D13),$E13,0)+IF(AND(N$4&gt;=$C14,N$4&lt;=$D14),$E14,0)+IF(AND(N$4&gt;=$C15,N$4&lt;=$D15),$E15,0)+IF(AND(N$4&gt;=$C16,N$4&lt;=$D16),$E16,0)+IF(AND(N$4&gt;=$C17,N$4&lt;=$D17),$E17,0)+IF(AND(N$4&gt;=$C18,N$4&lt;=$D18),$E18,0)+IF(AND(N$4&gt;=$C19,N$4&lt;=$D19),$E19,0)+IF(AND(N$4&gt;=$C20,N$4&lt;=$D20),$E20,0)+IF(AND(N$4&gt;=$C21,N$4&lt;=$D21),$E21,0)+IF(AND(N$4&gt;=$C22,N$4&lt;=$D22),$E22,0)+IF(AND(N$4&gt;=$C23,N$4&lt;=$D23),$E23,0)+IF(AND(N$4&gt;=$C24,N$4&lt;=$D24),$E24,0)+IF(AND(N$4&gt;=$C25,N$4&lt;=$D25),$E25,0)+IF(AND(N$4&gt;=$C26,N$4&lt;=$D26),$E26,0)+IF(AND(N$4&gt;=$C27,N$4&lt;=$D27),$E27,0)+IF(AND(N$4&gt;=$C28,N$4&lt;=$D28),$E28,0)+IF(AND(N$4&gt;=$C29,N$4&lt;=$D29),$E29,0)+IF(AND(N$4&gt;=$C32,N$4&lt;=$D32),$E32,0)+IF(AND(N$4&gt;=$C33,N$4&lt;=$D33),$E33,0)+IF(AND(N$4&gt;=$C34,N$4&lt;=$D34),$E34,0)+IF(AND(N$4&gt;=$C35,N$4&lt;=$D35),$E35,0)+IF(AND(N$4&gt;=$C36,N$4&lt;=$D36),$E36,0)+IF(AND(N$4&gt;=$C37,N$4&lt;=$D37),$E37,0)+IF(AND(N$4&gt;=$C38,N$4&lt;=$D38),$E38,0)+IF(AND(N$4&gt;=$C39,N$4&lt;=$D39),$E39,0)+IF(AND(N$4&gt;=$C40,N$4&lt;=$D40),$E40,0)+IF(AND(N$4&gt;=$C41,N$4&lt;=$D41),$E41,0)+IF(AND(N$4&gt;=$C42,N$4&lt;=$D42),$E42,0)+IF(AND(N$4&gt;=$C43,N$4&lt;=$D43),$E43,0)+IF(AND(N$4&gt;=$C44,N$4&lt;=$D44),$E44,0)+IF(AND(N$4&gt;=$C45,N$4&lt;=$D45),$E45,0)+IF(AND(N$4&gt;=$C46,N$4&lt;=$D46),$E46,0)+IF(AND(N$4&gt;=$C47,N$4&lt;=$D47),$E47,0)+IF(AND(N$4&gt;=$C48,N$4&lt;=$D48),$E48,0)+IF(AND(N$4&gt;=$C49,N$4&lt;=$D49),$E49,0)+IF(AND(N$4&gt;=$C50,N$4&lt;=$D50),$E50,0)+IF(AND(N$4&gt;=$C51,N$4&lt;=$D51),$E51,0)+IF(AND(N$4&gt;=$C52,N$4&lt;=$D52),$E52,0)+IF(AND(N$4&gt;=$C53,N$4&lt;=$D53),$E53,0)+IF(AND(N$4&gt;=$C54,N$4&lt;=$D54),$E54,0)+IF(AND(N$4&gt;=$C55,N$4&lt;=$D55),$E55,0)</f>
        <v>550000</v>
      </c>
      <c r="O58" s="11" t="n">
        <f aca="false">IF(AND(O$4&gt;=$C6,O$4&lt;=$D6),$E6,0)+IF(AND(O$4&gt;=$C7,O$4&lt;=$D7),$E7,0)+IF(AND(O$4&gt;=$C8,O$4&lt;=$D8),$E8,0)+IF(AND(O$4&gt;=$C9,O$4&lt;=$D9),$E9,0)+IF(AND(O$4&gt;=$C10,O$4&lt;=$D10),$E10,0)+IF(AND(O$4&gt;=$C11,O$4&lt;=$D11),$E11,0)+IF(AND(O$4&gt;=$C12,O$4&lt;=$D12),$E12,0)+IF(AND(O$4&gt;=$C13,O$4&lt;=$D13),$E13,0)+IF(AND(O$4&gt;=$C14,O$4&lt;=$D14),$E14,0)+IF(AND(O$4&gt;=$C15,O$4&lt;=$D15),$E15,0)+IF(AND(O$4&gt;=$C16,O$4&lt;=$D16),$E16,0)+IF(AND(O$4&gt;=$C17,O$4&lt;=$D17),$E17,0)+IF(AND(O$4&gt;=$C18,O$4&lt;=$D18),$E18,0)+IF(AND(O$4&gt;=$C19,O$4&lt;=$D19),$E19,0)+IF(AND(O$4&gt;=$C20,O$4&lt;=$D20),$E20,0)+IF(AND(O$4&gt;=$C21,O$4&lt;=$D21),$E21,0)+IF(AND(O$4&gt;=$C22,O$4&lt;=$D22),$E22,0)+IF(AND(O$4&gt;=$C23,O$4&lt;=$D23),$E23,0)+IF(AND(O$4&gt;=$C24,O$4&lt;=$D24),$E24,0)+IF(AND(O$4&gt;=$C25,O$4&lt;=$D25),$E25,0)+IF(AND(O$4&gt;=$C26,O$4&lt;=$D26),$E26,0)+IF(AND(O$4&gt;=$C27,O$4&lt;=$D27),$E27,0)+IF(AND(O$4&gt;=$C28,O$4&lt;=$D28),$E28,0)+IF(AND(O$4&gt;=$C29,O$4&lt;=$D29),$E29,0)+IF(AND(O$4&gt;=$C32,O$4&lt;=$D32),$E32,0)+IF(AND(O$4&gt;=$C33,O$4&lt;=$D33),$E33,0)+IF(AND(O$4&gt;=$C34,O$4&lt;=$D34),$E34,0)+IF(AND(O$4&gt;=$C35,O$4&lt;=$D35),$E35,0)+IF(AND(O$4&gt;=$C36,O$4&lt;=$D36),$E36,0)+IF(AND(O$4&gt;=$C37,O$4&lt;=$D37),$E37,0)+IF(AND(O$4&gt;=$C38,O$4&lt;=$D38),$E38,0)+IF(AND(O$4&gt;=$C39,O$4&lt;=$D39),$E39,0)+IF(AND(O$4&gt;=$C40,O$4&lt;=$D40),$E40,0)+IF(AND(O$4&gt;=$C41,O$4&lt;=$D41),$E41,0)+IF(AND(O$4&gt;=$C42,O$4&lt;=$D42),$E42,0)+IF(AND(O$4&gt;=$C43,O$4&lt;=$D43),$E43,0)+IF(AND(O$4&gt;=$C44,O$4&lt;=$D44),$E44,0)+IF(AND(O$4&gt;=$C45,O$4&lt;=$D45),$E45,0)+IF(AND(O$4&gt;=$C46,O$4&lt;=$D46),$E46,0)+IF(AND(O$4&gt;=$C47,O$4&lt;=$D47),$E47,0)+IF(AND(O$4&gt;=$C48,O$4&lt;=$D48),$E48,0)+IF(AND(O$4&gt;=$C49,O$4&lt;=$D49),$E49,0)+IF(AND(O$4&gt;=$C50,O$4&lt;=$D50),$E50,0)+IF(AND(O$4&gt;=$C51,O$4&lt;=$D51),$E51,0)+IF(AND(O$4&gt;=$C52,O$4&lt;=$D52),$E52,0)+IF(AND(O$4&gt;=$C53,O$4&lt;=$D53),$E53,0)+IF(AND(O$4&gt;=$C54,O$4&lt;=$D54),$E54,0)+IF(AND(O$4&gt;=$C55,O$4&lt;=$D55),$E55,0)</f>
        <v>763583.333333333</v>
      </c>
      <c r="P58" s="11" t="n">
        <f aca="false">IF(AND(P$4&gt;=$C6,P$4&lt;=$D6),$E6,0)+IF(AND(P$4&gt;=$C7,P$4&lt;=$D7),$E7,0)+IF(AND(P$4&gt;=$C8,P$4&lt;=$D8),$E8,0)+IF(AND(P$4&gt;=$C9,P$4&lt;=$D9),$E9,0)+IF(AND(P$4&gt;=$C10,P$4&lt;=$D10),$E10,0)+IF(AND(P$4&gt;=$C11,P$4&lt;=$D11),$E11,0)+IF(AND(P$4&gt;=$C12,P$4&lt;=$D12),$E12,0)+IF(AND(P$4&gt;=$C13,P$4&lt;=$D13),$E13,0)+IF(AND(P$4&gt;=$C14,P$4&lt;=$D14),$E14,0)+IF(AND(P$4&gt;=$C15,P$4&lt;=$D15),$E15,0)+IF(AND(P$4&gt;=$C16,P$4&lt;=$D16),$E16,0)+IF(AND(P$4&gt;=$C17,P$4&lt;=$D17),$E17,0)+IF(AND(P$4&gt;=$C18,P$4&lt;=$D18),$E18,0)+IF(AND(P$4&gt;=$C19,P$4&lt;=$D19),$E19,0)+IF(AND(P$4&gt;=$C20,P$4&lt;=$D20),$E20,0)+IF(AND(P$4&gt;=$C21,P$4&lt;=$D21),$E21,0)+IF(AND(P$4&gt;=$C22,P$4&lt;=$D22),$E22,0)+IF(AND(P$4&gt;=$C23,P$4&lt;=$D23),$E23,0)+IF(AND(P$4&gt;=$C24,P$4&lt;=$D24),$E24,0)+IF(AND(P$4&gt;=$C25,P$4&lt;=$D25),$E25,0)+IF(AND(P$4&gt;=$C26,P$4&lt;=$D26),$E26,0)+IF(AND(P$4&gt;=$C27,P$4&lt;=$D27),$E27,0)+IF(AND(P$4&gt;=$C28,P$4&lt;=$D28),$E28,0)+IF(AND(P$4&gt;=$C29,P$4&lt;=$D29),$E29,0)+IF(AND(P$4&gt;=$C32,P$4&lt;=$D32),$E32,0)+IF(AND(P$4&gt;=$C33,P$4&lt;=$D33),$E33,0)+IF(AND(P$4&gt;=$C34,P$4&lt;=$D34),$E34,0)+IF(AND(P$4&gt;=$C35,P$4&lt;=$D35),$E35,0)+IF(AND(P$4&gt;=$C36,P$4&lt;=$D36),$E36,0)+IF(AND(P$4&gt;=$C37,P$4&lt;=$D37),$E37,0)+IF(AND(P$4&gt;=$C38,P$4&lt;=$D38),$E38,0)+IF(AND(P$4&gt;=$C39,P$4&lt;=$D39),$E39,0)+IF(AND(P$4&gt;=$C40,P$4&lt;=$D40),$E40,0)+IF(AND(P$4&gt;=$C41,P$4&lt;=$D41),$E41,0)+IF(AND(P$4&gt;=$C42,P$4&lt;=$D42),$E42,0)+IF(AND(P$4&gt;=$C43,P$4&lt;=$D43),$E43,0)+IF(AND(P$4&gt;=$C44,P$4&lt;=$D44),$E44,0)+IF(AND(P$4&gt;=$C45,P$4&lt;=$D45),$E45,0)+IF(AND(P$4&gt;=$C46,P$4&lt;=$D46),$E46,0)+IF(AND(P$4&gt;=$C47,P$4&lt;=$D47),$E47,0)+IF(AND(P$4&gt;=$C48,P$4&lt;=$D48),$E48,0)+IF(AND(P$4&gt;=$C49,P$4&lt;=$D49),$E49,0)+IF(AND(P$4&gt;=$C50,P$4&lt;=$D50),$E50,0)+IF(AND(P$4&gt;=$C51,P$4&lt;=$D51),$E51,0)+IF(AND(P$4&gt;=$C52,P$4&lt;=$D52),$E52,0)+IF(AND(P$4&gt;=$C53,P$4&lt;=$D53),$E53,0)+IF(AND(P$4&gt;=$C54,P$4&lt;=$D54),$E54,0)+IF(AND(P$4&gt;=$C55,P$4&lt;=$D55),$E55,0)</f>
        <v>1007416.66666667</v>
      </c>
      <c r="Q58" s="11" t="n">
        <f aca="false">IF(AND(Q$4&gt;=$C6,Q$4&lt;=$D6),$E6,0)+IF(AND(Q$4&gt;=$C7,Q$4&lt;=$D7),$E7,0)+IF(AND(Q$4&gt;=$C8,Q$4&lt;=$D8),$E8,0)+IF(AND(Q$4&gt;=$C9,Q$4&lt;=$D9),$E9,0)+IF(AND(Q$4&gt;=$C10,Q$4&lt;=$D10),$E10,0)+IF(AND(Q$4&gt;=$C11,Q$4&lt;=$D11),$E11,0)+IF(AND(Q$4&gt;=$C12,Q$4&lt;=$D12),$E12,0)+IF(AND(Q$4&gt;=$C13,Q$4&lt;=$D13),$E13,0)+IF(AND(Q$4&gt;=$C14,Q$4&lt;=$D14),$E14,0)+IF(AND(Q$4&gt;=$C15,Q$4&lt;=$D15),$E15,0)+IF(AND(Q$4&gt;=$C16,Q$4&lt;=$D16),$E16,0)+IF(AND(Q$4&gt;=$C17,Q$4&lt;=$D17),$E17,0)+IF(AND(Q$4&gt;=$C18,Q$4&lt;=$D18),$E18,0)+IF(AND(Q$4&gt;=$C19,Q$4&lt;=$D19),$E19,0)+IF(AND(Q$4&gt;=$C20,Q$4&lt;=$D20),$E20,0)+IF(AND(Q$4&gt;=$C21,Q$4&lt;=$D21),$E21,0)+IF(AND(Q$4&gt;=$C22,Q$4&lt;=$D22),$E22,0)+IF(AND(Q$4&gt;=$C23,Q$4&lt;=$D23),$E23,0)+IF(AND(Q$4&gt;=$C24,Q$4&lt;=$D24),$E24,0)+IF(AND(Q$4&gt;=$C25,Q$4&lt;=$D25),$E25,0)+IF(AND(Q$4&gt;=$C26,Q$4&lt;=$D26),$E26,0)+IF(AND(Q$4&gt;=$C27,Q$4&lt;=$D27),$E27,0)+IF(AND(Q$4&gt;=$C28,Q$4&lt;=$D28),$E28,0)+IF(AND(Q$4&gt;=$C29,Q$4&lt;=$D29),$E29,0)+IF(AND(Q$4&gt;=$C32,Q$4&lt;=$D32),$E32,0)+IF(AND(Q$4&gt;=$C33,Q$4&lt;=$D33),$E33,0)+IF(AND(Q$4&gt;=$C34,Q$4&lt;=$D34),$E34,0)+IF(AND(Q$4&gt;=$C35,Q$4&lt;=$D35),$E35,0)+IF(AND(Q$4&gt;=$C36,Q$4&lt;=$D36),$E36,0)+IF(AND(Q$4&gt;=$C37,Q$4&lt;=$D37),$E37,0)+IF(AND(Q$4&gt;=$C38,Q$4&lt;=$D38),$E38,0)+IF(AND(Q$4&gt;=$C39,Q$4&lt;=$D39),$E39,0)+IF(AND(Q$4&gt;=$C40,Q$4&lt;=$D40),$E40,0)+IF(AND(Q$4&gt;=$C41,Q$4&lt;=$D41),$E41,0)+IF(AND(Q$4&gt;=$C42,Q$4&lt;=$D42),$E42,0)+IF(AND(Q$4&gt;=$C43,Q$4&lt;=$D43),$E43,0)+IF(AND(Q$4&gt;=$C44,Q$4&lt;=$D44),$E44,0)+IF(AND(Q$4&gt;=$C45,Q$4&lt;=$D45),$E45,0)+IF(AND(Q$4&gt;=$C46,Q$4&lt;=$D46),$E46,0)+IF(AND(Q$4&gt;=$C47,Q$4&lt;=$D47),$E47,0)+IF(AND(Q$4&gt;=$C48,Q$4&lt;=$D48),$E48,0)+IF(AND(Q$4&gt;=$C49,Q$4&lt;=$D49),$E49,0)+IF(AND(Q$4&gt;=$C50,Q$4&lt;=$D50),$E50,0)+IF(AND(Q$4&gt;=$C51,Q$4&lt;=$D51),$E51,0)+IF(AND(Q$4&gt;=$C52,Q$4&lt;=$D52),$E52,0)+IF(AND(Q$4&gt;=$C53,Q$4&lt;=$D53),$E53,0)+IF(AND(Q$4&gt;=$C54,Q$4&lt;=$D54),$E54,0)+IF(AND(Q$4&gt;=$C55,Q$4&lt;=$D55),$E55,0)</f>
        <v>1257166.66666667</v>
      </c>
      <c r="R58" s="11" t="n">
        <f aca="false">IF(AND(R$4&gt;=$C6,R$4&lt;=$D6),$E6,0)+IF(AND(R$4&gt;=$C7,R$4&lt;=$D7),$E7,0)+IF(AND(R$4&gt;=$C8,R$4&lt;=$D8),$E8,0)+IF(AND(R$4&gt;=$C9,R$4&lt;=$D9),$E9,0)+IF(AND(R$4&gt;=$C10,R$4&lt;=$D10),$E10,0)+IF(AND(R$4&gt;=$C11,R$4&lt;=$D11),$E11,0)+IF(AND(R$4&gt;=$C12,R$4&lt;=$D12),$E12,0)+IF(AND(R$4&gt;=$C13,R$4&lt;=$D13),$E13,0)+IF(AND(R$4&gt;=$C14,R$4&lt;=$D14),$E14,0)+IF(AND(R$4&gt;=$C15,R$4&lt;=$D15),$E15,0)+IF(AND(R$4&gt;=$C16,R$4&lt;=$D16),$E16,0)+IF(AND(R$4&gt;=$C17,R$4&lt;=$D17),$E17,0)+IF(AND(R$4&gt;=$C18,R$4&lt;=$D18),$E18,0)+IF(AND(R$4&gt;=$C19,R$4&lt;=$D19),$E19,0)+IF(AND(R$4&gt;=$C20,R$4&lt;=$D20),$E20,0)+IF(AND(R$4&gt;=$C21,R$4&lt;=$D21),$E21,0)+IF(AND(R$4&gt;=$C22,R$4&lt;=$D22),$E22,0)+IF(AND(R$4&gt;=$C23,R$4&lt;=$D23),$E23,0)+IF(AND(R$4&gt;=$C24,R$4&lt;=$D24),$E24,0)+IF(AND(R$4&gt;=$C25,R$4&lt;=$D25),$E25,0)+IF(AND(R$4&gt;=$C26,R$4&lt;=$D26),$E26,0)+IF(AND(R$4&gt;=$C27,R$4&lt;=$D27),$E27,0)+IF(AND(R$4&gt;=$C28,R$4&lt;=$D28),$E28,0)+IF(AND(R$4&gt;=$C29,R$4&lt;=$D29),$E29,0)+IF(AND(R$4&gt;=$C32,R$4&lt;=$D32),$E32,0)+IF(AND(R$4&gt;=$C33,R$4&lt;=$D33),$E33,0)+IF(AND(R$4&gt;=$C34,R$4&lt;=$D34),$E34,0)+IF(AND(R$4&gt;=$C35,R$4&lt;=$D35),$E35,0)+IF(AND(R$4&gt;=$C36,R$4&lt;=$D36),$E36,0)+IF(AND(R$4&gt;=$C37,R$4&lt;=$D37),$E37,0)+IF(AND(R$4&gt;=$C38,R$4&lt;=$D38),$E38,0)+IF(AND(R$4&gt;=$C39,R$4&lt;=$D39),$E39,0)+IF(AND(R$4&gt;=$C40,R$4&lt;=$D40),$E40,0)+IF(AND(R$4&gt;=$C41,R$4&lt;=$D41),$E41,0)+IF(AND(R$4&gt;=$C42,R$4&lt;=$D42),$E42,0)+IF(AND(R$4&gt;=$C43,R$4&lt;=$D43),$E43,0)+IF(AND(R$4&gt;=$C44,R$4&lt;=$D44),$E44,0)+IF(AND(R$4&gt;=$C45,R$4&lt;=$D45),$E45,0)+IF(AND(R$4&gt;=$C46,R$4&lt;=$D46),$E46,0)+IF(AND(R$4&gt;=$C47,R$4&lt;=$D47),$E47,0)+IF(AND(R$4&gt;=$C48,R$4&lt;=$D48),$E48,0)+IF(AND(R$4&gt;=$C49,R$4&lt;=$D49),$E49,0)+IF(AND(R$4&gt;=$C50,R$4&lt;=$D50),$E50,0)+IF(AND(R$4&gt;=$C51,R$4&lt;=$D51),$E51,0)+IF(AND(R$4&gt;=$C52,R$4&lt;=$D52),$E52,0)+IF(AND(R$4&gt;=$C53,R$4&lt;=$D53),$E53,0)+IF(AND(R$4&gt;=$C54,R$4&lt;=$D54),$E54,0)+IF(AND(R$4&gt;=$C55,R$4&lt;=$D55),$E55,0)</f>
        <v>1506916.66666667</v>
      </c>
      <c r="S58" s="11" t="n">
        <f aca="false">IF(AND(S$4&gt;=$C6,S$4&lt;=$D6),$E6,0)+IF(AND(S$4&gt;=$C7,S$4&lt;=$D7),$E7,0)+IF(AND(S$4&gt;=$C8,S$4&lt;=$D8),$E8,0)+IF(AND(S$4&gt;=$C9,S$4&lt;=$D9),$E9,0)+IF(AND(S$4&gt;=$C10,S$4&lt;=$D10),$E10,0)+IF(AND(S$4&gt;=$C11,S$4&lt;=$D11),$E11,0)+IF(AND(S$4&gt;=$C12,S$4&lt;=$D12),$E12,0)+IF(AND(S$4&gt;=$C13,S$4&lt;=$D13),$E13,0)+IF(AND(S$4&gt;=$C14,S$4&lt;=$D14),$E14,0)+IF(AND(S$4&gt;=$C15,S$4&lt;=$D15),$E15,0)+IF(AND(S$4&gt;=$C16,S$4&lt;=$D16),$E16,0)+IF(AND(S$4&gt;=$C17,S$4&lt;=$D17),$E17,0)+IF(AND(S$4&gt;=$C18,S$4&lt;=$D18),$E18,0)+IF(AND(S$4&gt;=$C19,S$4&lt;=$D19),$E19,0)+IF(AND(S$4&gt;=$C20,S$4&lt;=$D20),$E20,0)+IF(AND(S$4&gt;=$C21,S$4&lt;=$D21),$E21,0)+IF(AND(S$4&gt;=$C22,S$4&lt;=$D22),$E22,0)+IF(AND(S$4&gt;=$C23,S$4&lt;=$D23),$E23,0)+IF(AND(S$4&gt;=$C24,S$4&lt;=$D24),$E24,0)+IF(AND(S$4&gt;=$C25,S$4&lt;=$D25),$E25,0)+IF(AND(S$4&gt;=$C26,S$4&lt;=$D26),$E26,0)+IF(AND(S$4&gt;=$C27,S$4&lt;=$D27),$E27,0)+IF(AND(S$4&gt;=$C28,S$4&lt;=$D28),$E28,0)+IF(AND(S$4&gt;=$C29,S$4&lt;=$D29),$E29,0)+IF(AND(S$4&gt;=$C32,S$4&lt;=$D32),$E32,0)+IF(AND(S$4&gt;=$C33,S$4&lt;=$D33),$E33,0)+IF(AND(S$4&gt;=$C34,S$4&lt;=$D34),$E34,0)+IF(AND(S$4&gt;=$C35,S$4&lt;=$D35),$E35,0)+IF(AND(S$4&gt;=$C36,S$4&lt;=$D36),$E36,0)+IF(AND(S$4&gt;=$C37,S$4&lt;=$D37),$E37,0)+IF(AND(S$4&gt;=$C38,S$4&lt;=$D38),$E38,0)+IF(AND(S$4&gt;=$C39,S$4&lt;=$D39),$E39,0)+IF(AND(S$4&gt;=$C40,S$4&lt;=$D40),$E40,0)+IF(AND(S$4&gt;=$C41,S$4&lt;=$D41),$E41,0)+IF(AND(S$4&gt;=$C42,S$4&lt;=$D42),$E42,0)+IF(AND(S$4&gt;=$C43,S$4&lt;=$D43),$E43,0)+IF(AND(S$4&gt;=$C44,S$4&lt;=$D44),$E44,0)+IF(AND(S$4&gt;=$C45,S$4&lt;=$D45),$E45,0)+IF(AND(S$4&gt;=$C46,S$4&lt;=$D46),$E46,0)+IF(AND(S$4&gt;=$C47,S$4&lt;=$D47),$E47,0)+IF(AND(S$4&gt;=$C48,S$4&lt;=$D48),$E48,0)+IF(AND(S$4&gt;=$C49,S$4&lt;=$D49),$E49,0)+IF(AND(S$4&gt;=$C50,S$4&lt;=$D50),$E50,0)+IF(AND(S$4&gt;=$C51,S$4&lt;=$D51),$E51,0)+IF(AND(S$4&gt;=$C52,S$4&lt;=$D52),$E52,0)+IF(AND(S$4&gt;=$C53,S$4&lt;=$D53),$E53,0)+IF(AND(S$4&gt;=$C54,S$4&lt;=$D54),$E54,0)+IF(AND(S$4&gt;=$C55,S$4&lt;=$D55),$E55,0)</f>
        <v>1756666.66666667</v>
      </c>
      <c r="T58" s="11" t="n">
        <f aca="false">IF(AND(T$4&gt;=$C6,T$4&lt;=$D6),$E6,0)+IF(AND(T$4&gt;=$C7,T$4&lt;=$D7),$E7,0)+IF(AND(T$4&gt;=$C8,T$4&lt;=$D8),$E8,0)+IF(AND(T$4&gt;=$C9,T$4&lt;=$D9),$E9,0)+IF(AND(T$4&gt;=$C10,T$4&lt;=$D10),$E10,0)+IF(AND(T$4&gt;=$C11,T$4&lt;=$D11),$E11,0)+IF(AND(T$4&gt;=$C12,T$4&lt;=$D12),$E12,0)+IF(AND(T$4&gt;=$C13,T$4&lt;=$D13),$E13,0)+IF(AND(T$4&gt;=$C14,T$4&lt;=$D14),$E14,0)+IF(AND(T$4&gt;=$C15,T$4&lt;=$D15),$E15,0)+IF(AND(T$4&gt;=$C16,T$4&lt;=$D16),$E16,0)+IF(AND(T$4&gt;=$C17,T$4&lt;=$D17),$E17,0)+IF(AND(T$4&gt;=$C18,T$4&lt;=$D18),$E18,0)+IF(AND(T$4&gt;=$C19,T$4&lt;=$D19),$E19,0)+IF(AND(T$4&gt;=$C20,T$4&lt;=$D20),$E20,0)+IF(AND(T$4&gt;=$C21,T$4&lt;=$D21),$E21,0)+IF(AND(T$4&gt;=$C22,T$4&lt;=$D22),$E22,0)+IF(AND(T$4&gt;=$C23,T$4&lt;=$D23),$E23,0)+IF(AND(T$4&gt;=$C24,T$4&lt;=$D24),$E24,0)+IF(AND(T$4&gt;=$C25,T$4&lt;=$D25),$E25,0)+IF(AND(T$4&gt;=$C26,T$4&lt;=$D26),$E26,0)+IF(AND(T$4&gt;=$C27,T$4&lt;=$D27),$E27,0)+IF(AND(T$4&gt;=$C28,T$4&lt;=$D28),$E28,0)+IF(AND(T$4&gt;=$C29,T$4&lt;=$D29),$E29,0)+IF(AND(T$4&gt;=$C32,T$4&lt;=$D32),$E32,0)+IF(AND(T$4&gt;=$C33,T$4&lt;=$D33),$E33,0)+IF(AND(T$4&gt;=$C34,T$4&lt;=$D34),$E34,0)+IF(AND(T$4&gt;=$C35,T$4&lt;=$D35),$E35,0)+IF(AND(T$4&gt;=$C36,T$4&lt;=$D36),$E36,0)+IF(AND(T$4&gt;=$C37,T$4&lt;=$D37),$E37,0)+IF(AND(T$4&gt;=$C38,T$4&lt;=$D38),$E38,0)+IF(AND(T$4&gt;=$C39,T$4&lt;=$D39),$E39,0)+IF(AND(T$4&gt;=$C40,T$4&lt;=$D40),$E40,0)+IF(AND(T$4&gt;=$C41,T$4&lt;=$D41),$E41,0)+IF(AND(T$4&gt;=$C42,T$4&lt;=$D42),$E42,0)+IF(AND(T$4&gt;=$C43,T$4&lt;=$D43),$E43,0)+IF(AND(T$4&gt;=$C44,T$4&lt;=$D44),$E44,0)+IF(AND(T$4&gt;=$C45,T$4&lt;=$D45),$E45,0)+IF(AND(T$4&gt;=$C46,T$4&lt;=$D46),$E46,0)+IF(AND(T$4&gt;=$C47,T$4&lt;=$D47),$E47,0)+IF(AND(T$4&gt;=$C48,T$4&lt;=$D48),$E48,0)+IF(AND(T$4&gt;=$C49,T$4&lt;=$D49),$E49,0)+IF(AND(T$4&gt;=$C50,T$4&lt;=$D50),$E50,0)+IF(AND(T$4&gt;=$C51,T$4&lt;=$D51),$E51,0)+IF(AND(T$4&gt;=$C52,T$4&lt;=$D52),$E52,0)+IF(AND(T$4&gt;=$C53,T$4&lt;=$D53),$E53,0)+IF(AND(T$4&gt;=$C54,T$4&lt;=$D54),$E54,0)+IF(AND(T$4&gt;=$C55,T$4&lt;=$D55),$E55,0)</f>
        <v>2006416.66666667</v>
      </c>
      <c r="U58" s="11" t="n">
        <f aca="false">IF(AND(U$4&gt;=$C6,U$4&lt;=$D6),$E6,0)+IF(AND(U$4&gt;=$C7,U$4&lt;=$D7),$E7,0)+IF(AND(U$4&gt;=$C8,U$4&lt;=$D8),$E8,0)+IF(AND(U$4&gt;=$C9,U$4&lt;=$D9),$E9,0)+IF(AND(U$4&gt;=$C10,U$4&lt;=$D10),$E10,0)+IF(AND(U$4&gt;=$C11,U$4&lt;=$D11),$E11,0)+IF(AND(U$4&gt;=$C12,U$4&lt;=$D12),$E12,0)+IF(AND(U$4&gt;=$C13,U$4&lt;=$D13),$E13,0)+IF(AND(U$4&gt;=$C14,U$4&lt;=$D14),$E14,0)+IF(AND(U$4&gt;=$C15,U$4&lt;=$D15),$E15,0)+IF(AND(U$4&gt;=$C16,U$4&lt;=$D16),$E16,0)+IF(AND(U$4&gt;=$C17,U$4&lt;=$D17),$E17,0)+IF(AND(U$4&gt;=$C18,U$4&lt;=$D18),$E18,0)+IF(AND(U$4&gt;=$C19,U$4&lt;=$D19),$E19,0)+IF(AND(U$4&gt;=$C20,U$4&lt;=$D20),$E20,0)+IF(AND(U$4&gt;=$C21,U$4&lt;=$D21),$E21,0)+IF(AND(U$4&gt;=$C22,U$4&lt;=$D22),$E22,0)+IF(AND(U$4&gt;=$C23,U$4&lt;=$D23),$E23,0)+IF(AND(U$4&gt;=$C24,U$4&lt;=$D24),$E24,0)+IF(AND(U$4&gt;=$C25,U$4&lt;=$D25),$E25,0)+IF(AND(U$4&gt;=$C26,U$4&lt;=$D26),$E26,0)+IF(AND(U$4&gt;=$C27,U$4&lt;=$D27),$E27,0)+IF(AND(U$4&gt;=$C28,U$4&lt;=$D28),$E28,0)+IF(AND(U$4&gt;=$C29,U$4&lt;=$D29),$E29,0)+IF(AND(U$4&gt;=$C32,U$4&lt;=$D32),$E32,0)+IF(AND(U$4&gt;=$C33,U$4&lt;=$D33),$E33,0)+IF(AND(U$4&gt;=$C34,U$4&lt;=$D34),$E34,0)+IF(AND(U$4&gt;=$C35,U$4&lt;=$D35),$E35,0)+IF(AND(U$4&gt;=$C36,U$4&lt;=$D36),$E36,0)+IF(AND(U$4&gt;=$C37,U$4&lt;=$D37),$E37,0)+IF(AND(U$4&gt;=$C38,U$4&lt;=$D38),$E38,0)+IF(AND(U$4&gt;=$C39,U$4&lt;=$D39),$E39,0)+IF(AND(U$4&gt;=$C40,U$4&lt;=$D40),$E40,0)+IF(AND(U$4&gt;=$C41,U$4&lt;=$D41),$E41,0)+IF(AND(U$4&gt;=$C42,U$4&lt;=$D42),$E42,0)+IF(AND(U$4&gt;=$C43,U$4&lt;=$D43),$E43,0)+IF(AND(U$4&gt;=$C44,U$4&lt;=$D44),$E44,0)+IF(AND(U$4&gt;=$C45,U$4&lt;=$D45),$E45,0)+IF(AND(U$4&gt;=$C46,U$4&lt;=$D46),$E46,0)+IF(AND(U$4&gt;=$C47,U$4&lt;=$D47),$E47,0)+IF(AND(U$4&gt;=$C48,U$4&lt;=$D48),$E48,0)+IF(AND(U$4&gt;=$C49,U$4&lt;=$D49),$E49,0)+IF(AND(U$4&gt;=$C50,U$4&lt;=$D50),$E50,0)+IF(AND(U$4&gt;=$C51,U$4&lt;=$D51),$E51,0)+IF(AND(U$4&gt;=$C52,U$4&lt;=$D52),$E52,0)+IF(AND(U$4&gt;=$C53,U$4&lt;=$D53),$E53,0)+IF(AND(U$4&gt;=$C54,U$4&lt;=$D54),$E54,0)+IF(AND(U$4&gt;=$C55,U$4&lt;=$D55),$E55,0)</f>
        <v>2256166.66666667</v>
      </c>
      <c r="V58" s="11" t="n">
        <f aca="false">IF(AND(V$4&gt;=$C6,V$4&lt;=$D6),$E6,0)+IF(AND(V$4&gt;=$C7,V$4&lt;=$D7),$E7,0)+IF(AND(V$4&gt;=$C8,V$4&lt;=$D8),$E8,0)+IF(AND(V$4&gt;=$C9,V$4&lt;=$D9),$E9,0)+IF(AND(V$4&gt;=$C10,V$4&lt;=$D10),$E10,0)+IF(AND(V$4&gt;=$C11,V$4&lt;=$D11),$E11,0)+IF(AND(V$4&gt;=$C12,V$4&lt;=$D12),$E12,0)+IF(AND(V$4&gt;=$C13,V$4&lt;=$D13),$E13,0)+IF(AND(V$4&gt;=$C14,V$4&lt;=$D14),$E14,0)+IF(AND(V$4&gt;=$C15,V$4&lt;=$D15),$E15,0)+IF(AND(V$4&gt;=$C16,V$4&lt;=$D16),$E16,0)+IF(AND(V$4&gt;=$C17,V$4&lt;=$D17),$E17,0)+IF(AND(V$4&gt;=$C18,V$4&lt;=$D18),$E18,0)+IF(AND(V$4&gt;=$C19,V$4&lt;=$D19),$E19,0)+IF(AND(V$4&gt;=$C20,V$4&lt;=$D20),$E20,0)+IF(AND(V$4&gt;=$C21,V$4&lt;=$D21),$E21,0)+IF(AND(V$4&gt;=$C22,V$4&lt;=$D22),$E22,0)+IF(AND(V$4&gt;=$C23,V$4&lt;=$D23),$E23,0)+IF(AND(V$4&gt;=$C24,V$4&lt;=$D24),$E24,0)+IF(AND(V$4&gt;=$C25,V$4&lt;=$D25),$E25,0)+IF(AND(V$4&gt;=$C26,V$4&lt;=$D26),$E26,0)+IF(AND(V$4&gt;=$C27,V$4&lt;=$D27),$E27,0)+IF(AND(V$4&gt;=$C28,V$4&lt;=$D28),$E28,0)+IF(AND(V$4&gt;=$C29,V$4&lt;=$D29),$E29,0)+IF(AND(V$4&gt;=$C32,V$4&lt;=$D32),$E32,0)+IF(AND(V$4&gt;=$C33,V$4&lt;=$D33),$E33,0)+IF(AND(V$4&gt;=$C34,V$4&lt;=$D34),$E34,0)+IF(AND(V$4&gt;=$C35,V$4&lt;=$D35),$E35,0)+IF(AND(V$4&gt;=$C36,V$4&lt;=$D36),$E36,0)+IF(AND(V$4&gt;=$C37,V$4&lt;=$D37),$E37,0)+IF(AND(V$4&gt;=$C38,V$4&lt;=$D38),$E38,0)+IF(AND(V$4&gt;=$C39,V$4&lt;=$D39),$E39,0)+IF(AND(V$4&gt;=$C40,V$4&lt;=$D40),$E40,0)+IF(AND(V$4&gt;=$C41,V$4&lt;=$D41),$E41,0)+IF(AND(V$4&gt;=$C42,V$4&lt;=$D42),$E42,0)+IF(AND(V$4&gt;=$C43,V$4&lt;=$D43),$E43,0)+IF(AND(V$4&gt;=$C44,V$4&lt;=$D44),$E44,0)+IF(AND(V$4&gt;=$C45,V$4&lt;=$D45),$E45,0)+IF(AND(V$4&gt;=$C46,V$4&lt;=$D46),$E46,0)+IF(AND(V$4&gt;=$C47,V$4&lt;=$D47),$E47,0)+IF(AND(V$4&gt;=$C48,V$4&lt;=$D48),$E48,0)+IF(AND(V$4&gt;=$C49,V$4&lt;=$D49),$E49,0)+IF(AND(V$4&gt;=$C50,V$4&lt;=$D50),$E50,0)+IF(AND(V$4&gt;=$C51,V$4&lt;=$D51),$E51,0)+IF(AND(V$4&gt;=$C52,V$4&lt;=$D52),$E52,0)+IF(AND(V$4&gt;=$C53,V$4&lt;=$D53),$E53,0)+IF(AND(V$4&gt;=$C54,V$4&lt;=$D54),$E54,0)+IF(AND(V$4&gt;=$C55,V$4&lt;=$D55),$E55,0)</f>
        <v>2505916.66666667</v>
      </c>
      <c r="W58" s="11" t="n">
        <f aca="false">IF(AND(W$4&gt;=$C6,W$4&lt;=$D6),$E6,0)+IF(AND(W$4&gt;=$C7,W$4&lt;=$D7),$E7,0)+IF(AND(W$4&gt;=$C8,W$4&lt;=$D8),$E8,0)+IF(AND(W$4&gt;=$C9,W$4&lt;=$D9),$E9,0)+IF(AND(W$4&gt;=$C10,W$4&lt;=$D10),$E10,0)+IF(AND(W$4&gt;=$C11,W$4&lt;=$D11),$E11,0)+IF(AND(W$4&gt;=$C12,W$4&lt;=$D12),$E12,0)+IF(AND(W$4&gt;=$C13,W$4&lt;=$D13),$E13,0)+IF(AND(W$4&gt;=$C14,W$4&lt;=$D14),$E14,0)+IF(AND(W$4&gt;=$C15,W$4&lt;=$D15),$E15,0)+IF(AND(W$4&gt;=$C16,W$4&lt;=$D16),$E16,0)+IF(AND(W$4&gt;=$C17,W$4&lt;=$D17),$E17,0)+IF(AND(W$4&gt;=$C18,W$4&lt;=$D18),$E18,0)+IF(AND(W$4&gt;=$C19,W$4&lt;=$D19),$E19,0)+IF(AND(W$4&gt;=$C20,W$4&lt;=$D20),$E20,0)+IF(AND(W$4&gt;=$C21,W$4&lt;=$D21),$E21,0)+IF(AND(W$4&gt;=$C22,W$4&lt;=$D22),$E22,0)+IF(AND(W$4&gt;=$C23,W$4&lt;=$D23),$E23,0)+IF(AND(W$4&gt;=$C24,W$4&lt;=$D24),$E24,0)+IF(AND(W$4&gt;=$C25,W$4&lt;=$D25),$E25,0)+IF(AND(W$4&gt;=$C26,W$4&lt;=$D26),$E26,0)+IF(AND(W$4&gt;=$C27,W$4&lt;=$D27),$E27,0)+IF(AND(W$4&gt;=$C28,W$4&lt;=$D28),$E28,0)+IF(AND(W$4&gt;=$C29,W$4&lt;=$D29),$E29,0)+IF(AND(W$4&gt;=$C32,W$4&lt;=$D32),$E32,0)+IF(AND(W$4&gt;=$C33,W$4&lt;=$D33),$E33,0)+IF(AND(W$4&gt;=$C34,W$4&lt;=$D34),$E34,0)+IF(AND(W$4&gt;=$C35,W$4&lt;=$D35),$E35,0)+IF(AND(W$4&gt;=$C36,W$4&lt;=$D36),$E36,0)+IF(AND(W$4&gt;=$C37,W$4&lt;=$D37),$E37,0)+IF(AND(W$4&gt;=$C38,W$4&lt;=$D38),$E38,0)+IF(AND(W$4&gt;=$C39,W$4&lt;=$D39),$E39,0)+IF(AND(W$4&gt;=$C40,W$4&lt;=$D40),$E40,0)+IF(AND(W$4&gt;=$C41,W$4&lt;=$D41),$E41,0)+IF(AND(W$4&gt;=$C42,W$4&lt;=$D42),$E42,0)+IF(AND(W$4&gt;=$C43,W$4&lt;=$D43),$E43,0)+IF(AND(W$4&gt;=$C44,W$4&lt;=$D44),$E44,0)+IF(AND(W$4&gt;=$C45,W$4&lt;=$D45),$E45,0)+IF(AND(W$4&gt;=$C46,W$4&lt;=$D46),$E46,0)+IF(AND(W$4&gt;=$C47,W$4&lt;=$D47),$E47,0)+IF(AND(W$4&gt;=$C48,W$4&lt;=$D48),$E48,0)+IF(AND(W$4&gt;=$C49,W$4&lt;=$D49),$E49,0)+IF(AND(W$4&gt;=$C50,W$4&lt;=$D50),$E50,0)+IF(AND(W$4&gt;=$C51,W$4&lt;=$D51),$E51,0)+IF(AND(W$4&gt;=$C52,W$4&lt;=$D52),$E52,0)+IF(AND(W$4&gt;=$C53,W$4&lt;=$D53),$E53,0)+IF(AND(W$4&gt;=$C54,W$4&lt;=$D54),$E54,0)+IF(AND(W$4&gt;=$C55,W$4&lt;=$D55),$E55,0)</f>
        <v>2755666.66666667</v>
      </c>
      <c r="X58" s="11" t="n">
        <f aca="false">IF(AND(X$4&gt;=$C6,X$4&lt;=$D6),$E6,0)+IF(AND(X$4&gt;=$C7,X$4&lt;=$D7),$E7,0)+IF(AND(X$4&gt;=$C8,X$4&lt;=$D8),$E8,0)+IF(AND(X$4&gt;=$C9,X$4&lt;=$D9),$E9,0)+IF(AND(X$4&gt;=$C10,X$4&lt;=$D10),$E10,0)+IF(AND(X$4&gt;=$C11,X$4&lt;=$D11),$E11,0)+IF(AND(X$4&gt;=$C12,X$4&lt;=$D12),$E12,0)+IF(AND(X$4&gt;=$C13,X$4&lt;=$D13),$E13,0)+IF(AND(X$4&gt;=$C14,X$4&lt;=$D14),$E14,0)+IF(AND(X$4&gt;=$C15,X$4&lt;=$D15),$E15,0)+IF(AND(X$4&gt;=$C16,X$4&lt;=$D16),$E16,0)+IF(AND(X$4&gt;=$C17,X$4&lt;=$D17),$E17,0)+IF(AND(X$4&gt;=$C18,X$4&lt;=$D18),$E18,0)+IF(AND(X$4&gt;=$C19,X$4&lt;=$D19),$E19,0)+IF(AND(X$4&gt;=$C20,X$4&lt;=$D20),$E20,0)+IF(AND(X$4&gt;=$C21,X$4&lt;=$D21),$E21,0)+IF(AND(X$4&gt;=$C22,X$4&lt;=$D22),$E22,0)+IF(AND(X$4&gt;=$C23,X$4&lt;=$D23),$E23,0)+IF(AND(X$4&gt;=$C24,X$4&lt;=$D24),$E24,0)+IF(AND(X$4&gt;=$C25,X$4&lt;=$D25),$E25,0)+IF(AND(X$4&gt;=$C26,X$4&lt;=$D26),$E26,0)+IF(AND(X$4&gt;=$C27,X$4&lt;=$D27),$E27,0)+IF(AND(X$4&gt;=$C28,X$4&lt;=$D28),$E28,0)+IF(AND(X$4&gt;=$C29,X$4&lt;=$D29),$E29,0)+IF(AND(X$4&gt;=$C32,X$4&lt;=$D32),$E32,0)+IF(AND(X$4&gt;=$C33,X$4&lt;=$D33),$E33,0)+IF(AND(X$4&gt;=$C34,X$4&lt;=$D34),$E34,0)+IF(AND(X$4&gt;=$C35,X$4&lt;=$D35),$E35,0)+IF(AND(X$4&gt;=$C36,X$4&lt;=$D36),$E36,0)+IF(AND(X$4&gt;=$C37,X$4&lt;=$D37),$E37,0)+IF(AND(X$4&gt;=$C38,X$4&lt;=$D38),$E38,0)+IF(AND(X$4&gt;=$C39,X$4&lt;=$D39),$E39,0)+IF(AND(X$4&gt;=$C40,X$4&lt;=$D40),$E40,0)+IF(AND(X$4&gt;=$C41,X$4&lt;=$D41),$E41,0)+IF(AND(X$4&gt;=$C42,X$4&lt;=$D42),$E42,0)+IF(AND(X$4&gt;=$C43,X$4&lt;=$D43),$E43,0)+IF(AND(X$4&gt;=$C44,X$4&lt;=$D44),$E44,0)+IF(AND(X$4&gt;=$C45,X$4&lt;=$D45),$E45,0)+IF(AND(X$4&gt;=$C46,X$4&lt;=$D46),$E46,0)+IF(AND(X$4&gt;=$C47,X$4&lt;=$D47),$E47,0)+IF(AND(X$4&gt;=$C48,X$4&lt;=$D48),$E48,0)+IF(AND(X$4&gt;=$C49,X$4&lt;=$D49),$E49,0)+IF(AND(X$4&gt;=$C50,X$4&lt;=$D50),$E50,0)+IF(AND(X$4&gt;=$C51,X$4&lt;=$D51),$E51,0)+IF(AND(X$4&gt;=$C52,X$4&lt;=$D52),$E52,0)+IF(AND(X$4&gt;=$C53,X$4&lt;=$D53),$E53,0)+IF(AND(X$4&gt;=$C54,X$4&lt;=$D54),$E54,0)+IF(AND(X$4&gt;=$C55,X$4&lt;=$D55),$E55,0)</f>
        <v>3007616.66666667</v>
      </c>
      <c r="Y58" s="11" t="n">
        <f aca="false">IF(AND(Y$4&gt;=$C6,Y$4&lt;=$D6),$E6,0)+IF(AND(Y$4&gt;=$C7,Y$4&lt;=$D7),$E7,0)+IF(AND(Y$4&gt;=$C8,Y$4&lt;=$D8),$E8,0)+IF(AND(Y$4&gt;=$C9,Y$4&lt;=$D9),$E9,0)+IF(AND(Y$4&gt;=$C10,Y$4&lt;=$D10),$E10,0)+IF(AND(Y$4&gt;=$C11,Y$4&lt;=$D11),$E11,0)+IF(AND(Y$4&gt;=$C12,Y$4&lt;=$D12),$E12,0)+IF(AND(Y$4&gt;=$C13,Y$4&lt;=$D13),$E13,0)+IF(AND(Y$4&gt;=$C14,Y$4&lt;=$D14),$E14,0)+IF(AND(Y$4&gt;=$C15,Y$4&lt;=$D15),$E15,0)+IF(AND(Y$4&gt;=$C16,Y$4&lt;=$D16),$E16,0)+IF(AND(Y$4&gt;=$C17,Y$4&lt;=$D17),$E17,0)+IF(AND(Y$4&gt;=$C18,Y$4&lt;=$D18),$E18,0)+IF(AND(Y$4&gt;=$C19,Y$4&lt;=$D19),$E19,0)+IF(AND(Y$4&gt;=$C20,Y$4&lt;=$D20),$E20,0)+IF(AND(Y$4&gt;=$C21,Y$4&lt;=$D21),$E21,0)+IF(AND(Y$4&gt;=$C22,Y$4&lt;=$D22),$E22,0)+IF(AND(Y$4&gt;=$C23,Y$4&lt;=$D23),$E23,0)+IF(AND(Y$4&gt;=$C24,Y$4&lt;=$D24),$E24,0)+IF(AND(Y$4&gt;=$C25,Y$4&lt;=$D25),$E25,0)+IF(AND(Y$4&gt;=$C26,Y$4&lt;=$D26),$E26,0)+IF(AND(Y$4&gt;=$C27,Y$4&lt;=$D27),$E27,0)+IF(AND(Y$4&gt;=$C28,Y$4&lt;=$D28),$E28,0)+IF(AND(Y$4&gt;=$C29,Y$4&lt;=$D29),$E29,0)+IF(AND(Y$4&gt;=$C32,Y$4&lt;=$D32),$E32,0)+IF(AND(Y$4&gt;=$C33,Y$4&lt;=$D33),$E33,0)+IF(AND(Y$4&gt;=$C34,Y$4&lt;=$D34),$E34,0)+IF(AND(Y$4&gt;=$C35,Y$4&lt;=$D35),$E35,0)+IF(AND(Y$4&gt;=$C36,Y$4&lt;=$D36),$E36,0)+IF(AND(Y$4&gt;=$C37,Y$4&lt;=$D37),$E37,0)+IF(AND(Y$4&gt;=$C38,Y$4&lt;=$D38),$E38,0)+IF(AND(Y$4&gt;=$C39,Y$4&lt;=$D39),$E39,0)+IF(AND(Y$4&gt;=$C40,Y$4&lt;=$D40),$E40,0)+IF(AND(Y$4&gt;=$C41,Y$4&lt;=$D41),$E41,0)+IF(AND(Y$4&gt;=$C42,Y$4&lt;=$D42),$E42,0)+IF(AND(Y$4&gt;=$C43,Y$4&lt;=$D43),$E43,0)+IF(AND(Y$4&gt;=$C44,Y$4&lt;=$D44),$E44,0)+IF(AND(Y$4&gt;=$C45,Y$4&lt;=$D45),$E45,0)+IF(AND(Y$4&gt;=$C46,Y$4&lt;=$D46),$E46,0)+IF(AND(Y$4&gt;=$C47,Y$4&lt;=$D47),$E47,0)+IF(AND(Y$4&gt;=$C48,Y$4&lt;=$D48),$E48,0)+IF(AND(Y$4&gt;=$C49,Y$4&lt;=$D49),$E49,0)+IF(AND(Y$4&gt;=$C50,Y$4&lt;=$D50),$E50,0)+IF(AND(Y$4&gt;=$C51,Y$4&lt;=$D51),$E51,0)+IF(AND(Y$4&gt;=$C52,Y$4&lt;=$D52),$E52,0)+IF(AND(Y$4&gt;=$C53,Y$4&lt;=$D53),$E53,0)+IF(AND(Y$4&gt;=$C54,Y$4&lt;=$D54),$E54,0)+IF(AND(Y$4&gt;=$C55,Y$4&lt;=$D55),$E55,0)</f>
        <v>3259566.66666667</v>
      </c>
      <c r="Z58" s="11" t="n">
        <f aca="false">IF(AND(Z$4&gt;=$C6,Z$4&lt;=$D6),$E6,0)+IF(AND(Z$4&gt;=$C7,Z$4&lt;=$D7),$E7,0)+IF(AND(Z$4&gt;=$C8,Z$4&lt;=$D8),$E8,0)+IF(AND(Z$4&gt;=$C9,Z$4&lt;=$D9),$E9,0)+IF(AND(Z$4&gt;=$C10,Z$4&lt;=$D10),$E10,0)+IF(AND(Z$4&gt;=$C11,Z$4&lt;=$D11),$E11,0)+IF(AND(Z$4&gt;=$C12,Z$4&lt;=$D12),$E12,0)+IF(AND(Z$4&gt;=$C13,Z$4&lt;=$D13),$E13,0)+IF(AND(Z$4&gt;=$C14,Z$4&lt;=$D14),$E14,0)+IF(AND(Z$4&gt;=$C15,Z$4&lt;=$D15),$E15,0)+IF(AND(Z$4&gt;=$C16,Z$4&lt;=$D16),$E16,0)+IF(AND(Z$4&gt;=$C17,Z$4&lt;=$D17),$E17,0)+IF(AND(Z$4&gt;=$C18,Z$4&lt;=$D18),$E18,0)+IF(AND(Z$4&gt;=$C19,Z$4&lt;=$D19),$E19,0)+IF(AND(Z$4&gt;=$C20,Z$4&lt;=$D20),$E20,0)+IF(AND(Z$4&gt;=$C21,Z$4&lt;=$D21),$E21,0)+IF(AND(Z$4&gt;=$C22,Z$4&lt;=$D22),$E22,0)+IF(AND(Z$4&gt;=$C23,Z$4&lt;=$D23),$E23,0)+IF(AND(Z$4&gt;=$C24,Z$4&lt;=$D24),$E24,0)+IF(AND(Z$4&gt;=$C25,Z$4&lt;=$D25),$E25,0)+IF(AND(Z$4&gt;=$C26,Z$4&lt;=$D26),$E26,0)+IF(AND(Z$4&gt;=$C27,Z$4&lt;=$D27),$E27,0)+IF(AND(Z$4&gt;=$C28,Z$4&lt;=$D28),$E28,0)+IF(AND(Z$4&gt;=$C29,Z$4&lt;=$D29),$E29,0)+IF(AND(Z$4&gt;=$C32,Z$4&lt;=$D32),$E32,0)+IF(AND(Z$4&gt;=$C33,Z$4&lt;=$D33),$E33,0)+IF(AND(Z$4&gt;=$C34,Z$4&lt;=$D34),$E34,0)+IF(AND(Z$4&gt;=$C35,Z$4&lt;=$D35),$E35,0)+IF(AND(Z$4&gt;=$C36,Z$4&lt;=$D36),$E36,0)+IF(AND(Z$4&gt;=$C37,Z$4&lt;=$D37),$E37,0)+IF(AND(Z$4&gt;=$C38,Z$4&lt;=$D38),$E38,0)+IF(AND(Z$4&gt;=$C39,Z$4&lt;=$D39),$E39,0)+IF(AND(Z$4&gt;=$C40,Z$4&lt;=$D40),$E40,0)+IF(AND(Z$4&gt;=$C41,Z$4&lt;=$D41),$E41,0)+IF(AND(Z$4&gt;=$C42,Z$4&lt;=$D42),$E42,0)+IF(AND(Z$4&gt;=$C43,Z$4&lt;=$D43),$E43,0)+IF(AND(Z$4&gt;=$C44,Z$4&lt;=$D44),$E44,0)+IF(AND(Z$4&gt;=$C45,Z$4&lt;=$D45),$E45,0)+IF(AND(Z$4&gt;=$C46,Z$4&lt;=$D46),$E46,0)+IF(AND(Z$4&gt;=$C47,Z$4&lt;=$D47),$E47,0)+IF(AND(Z$4&gt;=$C48,Z$4&lt;=$D48),$E48,0)+IF(AND(Z$4&gt;=$C49,Z$4&lt;=$D49),$E49,0)+IF(AND(Z$4&gt;=$C50,Z$4&lt;=$D50),$E50,0)+IF(AND(Z$4&gt;=$C51,Z$4&lt;=$D51),$E51,0)+IF(AND(Z$4&gt;=$C52,Z$4&lt;=$D52),$E52,0)+IF(AND(Z$4&gt;=$C53,Z$4&lt;=$D53),$E53,0)+IF(AND(Z$4&gt;=$C54,Z$4&lt;=$D54),$E54,0)+IF(AND(Z$4&gt;=$C55,Z$4&lt;=$D55),$E55,0)</f>
        <v>3511516.66666667</v>
      </c>
      <c r="AA58" s="11" t="n">
        <f aca="false">IF(AND(AA$4&gt;=$C6,AA$4&lt;=$D6),$E6,0)+IF(AND(AA$4&gt;=$C7,AA$4&lt;=$D7),$E7,0)+IF(AND(AA$4&gt;=$C8,AA$4&lt;=$D8),$E8,0)+IF(AND(AA$4&gt;=$C9,AA$4&lt;=$D9),$E9,0)+IF(AND(AA$4&gt;=$C10,AA$4&lt;=$D10),$E10,0)+IF(AND(AA$4&gt;=$C11,AA$4&lt;=$D11),$E11,0)+IF(AND(AA$4&gt;=$C12,AA$4&lt;=$D12),$E12,0)+IF(AND(AA$4&gt;=$C13,AA$4&lt;=$D13),$E13,0)+IF(AND(AA$4&gt;=$C14,AA$4&lt;=$D14),$E14,0)+IF(AND(AA$4&gt;=$C15,AA$4&lt;=$D15),$E15,0)+IF(AND(AA$4&gt;=$C16,AA$4&lt;=$D16),$E16,0)+IF(AND(AA$4&gt;=$C17,AA$4&lt;=$D17),$E17,0)+IF(AND(AA$4&gt;=$C18,AA$4&lt;=$D18),$E18,0)+IF(AND(AA$4&gt;=$C19,AA$4&lt;=$D19),$E19,0)+IF(AND(AA$4&gt;=$C20,AA$4&lt;=$D20),$E20,0)+IF(AND(AA$4&gt;=$C21,AA$4&lt;=$D21),$E21,0)+IF(AND(AA$4&gt;=$C22,AA$4&lt;=$D22),$E22,0)+IF(AND(AA$4&gt;=$C23,AA$4&lt;=$D23),$E23,0)+IF(AND(AA$4&gt;=$C24,AA$4&lt;=$D24),$E24,0)+IF(AND(AA$4&gt;=$C25,AA$4&lt;=$D25),$E25,0)+IF(AND(AA$4&gt;=$C26,AA$4&lt;=$D26),$E26,0)+IF(AND(AA$4&gt;=$C27,AA$4&lt;=$D27),$E27,0)+IF(AND(AA$4&gt;=$C28,AA$4&lt;=$D28),$E28,0)+IF(AND(AA$4&gt;=$C29,AA$4&lt;=$D29),$E29,0)+IF(AND(AA$4&gt;=$C32,AA$4&lt;=$D32),$E32,0)+IF(AND(AA$4&gt;=$C33,AA$4&lt;=$D33),$E33,0)+IF(AND(AA$4&gt;=$C34,AA$4&lt;=$D34),$E34,0)+IF(AND(AA$4&gt;=$C35,AA$4&lt;=$D35),$E35,0)+IF(AND(AA$4&gt;=$C36,AA$4&lt;=$D36),$E36,0)+IF(AND(AA$4&gt;=$C37,AA$4&lt;=$D37),$E37,0)+IF(AND(AA$4&gt;=$C38,AA$4&lt;=$D38),$E38,0)+IF(AND(AA$4&gt;=$C39,AA$4&lt;=$D39),$E39,0)+IF(AND(AA$4&gt;=$C40,AA$4&lt;=$D40),$E40,0)+IF(AND(AA$4&gt;=$C41,AA$4&lt;=$D41),$E41,0)+IF(AND(AA$4&gt;=$C42,AA$4&lt;=$D42),$E42,0)+IF(AND(AA$4&gt;=$C43,AA$4&lt;=$D43),$E43,0)+IF(AND(AA$4&gt;=$C44,AA$4&lt;=$D44),$E44,0)+IF(AND(AA$4&gt;=$C45,AA$4&lt;=$D45),$E45,0)+IF(AND(AA$4&gt;=$C46,AA$4&lt;=$D46),$E46,0)+IF(AND(AA$4&gt;=$C47,AA$4&lt;=$D47),$E47,0)+IF(AND(AA$4&gt;=$C48,AA$4&lt;=$D48),$E48,0)+IF(AND(AA$4&gt;=$C49,AA$4&lt;=$D49),$E49,0)+IF(AND(AA$4&gt;=$C50,AA$4&lt;=$D50),$E50,0)+IF(AND(AA$4&gt;=$C51,AA$4&lt;=$D51),$E51,0)+IF(AND(AA$4&gt;=$C52,AA$4&lt;=$D52),$E52,0)+IF(AND(AA$4&gt;=$C53,AA$4&lt;=$D53),$E53,0)+IF(AND(AA$4&gt;=$C54,AA$4&lt;=$D54),$E54,0)+IF(AND(AA$4&gt;=$C55,AA$4&lt;=$D55),$E55,0)</f>
        <v>3763829.66666667</v>
      </c>
      <c r="AB58" s="11" t="n">
        <f aca="false">IF(AND(AB$4&gt;=$C6,AB$4&lt;=$D6),$E6,0)+IF(AND(AB$4&gt;=$C7,AB$4&lt;=$D7),$E7,0)+IF(AND(AB$4&gt;=$C8,AB$4&lt;=$D8),$E8,0)+IF(AND(AB$4&gt;=$C9,AB$4&lt;=$D9),$E9,0)+IF(AND(AB$4&gt;=$C10,AB$4&lt;=$D10),$E10,0)+IF(AND(AB$4&gt;=$C11,AB$4&lt;=$D11),$E11,0)+IF(AND(AB$4&gt;=$C12,AB$4&lt;=$D12),$E12,0)+IF(AND(AB$4&gt;=$C13,AB$4&lt;=$D13),$E13,0)+IF(AND(AB$4&gt;=$C14,AB$4&lt;=$D14),$E14,0)+IF(AND(AB$4&gt;=$C15,AB$4&lt;=$D15),$E15,0)+IF(AND(AB$4&gt;=$C16,AB$4&lt;=$D16),$E16,0)+IF(AND(AB$4&gt;=$C17,AB$4&lt;=$D17),$E17,0)+IF(AND(AB$4&gt;=$C18,AB$4&lt;=$D18),$E18,0)+IF(AND(AB$4&gt;=$C19,AB$4&lt;=$D19),$E19,0)+IF(AND(AB$4&gt;=$C20,AB$4&lt;=$D20),$E20,0)+IF(AND(AB$4&gt;=$C21,AB$4&lt;=$D21),$E21,0)+IF(AND(AB$4&gt;=$C22,AB$4&lt;=$D22),$E22,0)+IF(AND(AB$4&gt;=$C23,AB$4&lt;=$D23),$E23,0)+IF(AND(AB$4&gt;=$C24,AB$4&lt;=$D24),$E24,0)+IF(AND(AB$4&gt;=$C25,AB$4&lt;=$D25),$E25,0)+IF(AND(AB$4&gt;=$C26,AB$4&lt;=$D26),$E26,0)+IF(AND(AB$4&gt;=$C27,AB$4&lt;=$D27),$E27,0)+IF(AND(AB$4&gt;=$C28,AB$4&lt;=$D28),$E28,0)+IF(AND(AB$4&gt;=$C29,AB$4&lt;=$D29),$E29,0)+IF(AND(AB$4&gt;=$C32,AB$4&lt;=$D32),$E32,0)+IF(AND(AB$4&gt;=$C33,AB$4&lt;=$D33),$E33,0)+IF(AND(AB$4&gt;=$C34,AB$4&lt;=$D34),$E34,0)+IF(AND(AB$4&gt;=$C35,AB$4&lt;=$D35),$E35,0)+IF(AND(AB$4&gt;=$C36,AB$4&lt;=$D36),$E36,0)+IF(AND(AB$4&gt;=$C37,AB$4&lt;=$D37),$E37,0)+IF(AND(AB$4&gt;=$C38,AB$4&lt;=$D38),$E38,0)+IF(AND(AB$4&gt;=$C39,AB$4&lt;=$D39),$E39,0)+IF(AND(AB$4&gt;=$C40,AB$4&lt;=$D40),$E40,0)+IF(AND(AB$4&gt;=$C41,AB$4&lt;=$D41),$E41,0)+IF(AND(AB$4&gt;=$C42,AB$4&lt;=$D42),$E42,0)+IF(AND(AB$4&gt;=$C43,AB$4&lt;=$D43),$E43,0)+IF(AND(AB$4&gt;=$C44,AB$4&lt;=$D44),$E44,0)+IF(AND(AB$4&gt;=$C45,AB$4&lt;=$D45),$E45,0)+IF(AND(AB$4&gt;=$C46,AB$4&lt;=$D46),$E46,0)+IF(AND(AB$4&gt;=$C47,AB$4&lt;=$D47),$E47,0)+IF(AND(AB$4&gt;=$C48,AB$4&lt;=$D48),$E48,0)+IF(AND(AB$4&gt;=$C49,AB$4&lt;=$D49),$E49,0)+IF(AND(AB$4&gt;=$C50,AB$4&lt;=$D50),$E50,0)+IF(AND(AB$4&gt;=$C51,AB$4&lt;=$D51),$E51,0)+IF(AND(AB$4&gt;=$C52,AB$4&lt;=$D52),$E52,0)+IF(AND(AB$4&gt;=$C53,AB$4&lt;=$D53),$E53,0)+IF(AND(AB$4&gt;=$C54,AB$4&lt;=$D54),$E54,0)+IF(AND(AB$4&gt;=$C55,AB$4&lt;=$D55),$E55,0)</f>
        <v>4016505.66666667</v>
      </c>
      <c r="AC58" s="11" t="n">
        <f aca="false">IF(AND(AC$4&gt;=$C6,AC$4&lt;=$D6),$E6,0)+IF(AND(AC$4&gt;=$C7,AC$4&lt;=$D7),$E7,0)+IF(AND(AC$4&gt;=$C8,AC$4&lt;=$D8),$E8,0)+IF(AND(AC$4&gt;=$C9,AC$4&lt;=$D9),$E9,0)+IF(AND(AC$4&gt;=$C10,AC$4&lt;=$D10),$E10,0)+IF(AND(AC$4&gt;=$C11,AC$4&lt;=$D11),$E11,0)+IF(AND(AC$4&gt;=$C12,AC$4&lt;=$D12),$E12,0)+IF(AND(AC$4&gt;=$C13,AC$4&lt;=$D13),$E13,0)+IF(AND(AC$4&gt;=$C14,AC$4&lt;=$D14),$E14,0)+IF(AND(AC$4&gt;=$C15,AC$4&lt;=$D15),$E15,0)+IF(AND(AC$4&gt;=$C16,AC$4&lt;=$D16),$E16,0)+IF(AND(AC$4&gt;=$C17,AC$4&lt;=$D17),$E17,0)+IF(AND(AC$4&gt;=$C18,AC$4&lt;=$D18),$E18,0)+IF(AND(AC$4&gt;=$C19,AC$4&lt;=$D19),$E19,0)+IF(AND(AC$4&gt;=$C20,AC$4&lt;=$D20),$E20,0)+IF(AND(AC$4&gt;=$C21,AC$4&lt;=$D21),$E21,0)+IF(AND(AC$4&gt;=$C22,AC$4&lt;=$D22),$E22,0)+IF(AND(AC$4&gt;=$C23,AC$4&lt;=$D23),$E23,0)+IF(AND(AC$4&gt;=$C24,AC$4&lt;=$D24),$E24,0)+IF(AND(AC$4&gt;=$C25,AC$4&lt;=$D25),$E25,0)+IF(AND(AC$4&gt;=$C26,AC$4&lt;=$D26),$E26,0)+IF(AND(AC$4&gt;=$C27,AC$4&lt;=$D27),$E27,0)+IF(AND(AC$4&gt;=$C28,AC$4&lt;=$D28),$E28,0)+IF(AND(AC$4&gt;=$C29,AC$4&lt;=$D29),$E29,0)+IF(AND(AC$4&gt;=$C32,AC$4&lt;=$D32),$E32,0)+IF(AND(AC$4&gt;=$C33,AC$4&lt;=$D33),$E33,0)+IF(AND(AC$4&gt;=$C34,AC$4&lt;=$D34),$E34,0)+IF(AND(AC$4&gt;=$C35,AC$4&lt;=$D35),$E35,0)+IF(AND(AC$4&gt;=$C36,AC$4&lt;=$D36),$E36,0)+IF(AND(AC$4&gt;=$C37,AC$4&lt;=$D37),$E37,0)+IF(AND(AC$4&gt;=$C38,AC$4&lt;=$D38),$E38,0)+IF(AND(AC$4&gt;=$C39,AC$4&lt;=$D39),$E39,0)+IF(AND(AC$4&gt;=$C40,AC$4&lt;=$D40),$E40,0)+IF(AND(AC$4&gt;=$C41,AC$4&lt;=$D41),$E41,0)+IF(AND(AC$4&gt;=$C42,AC$4&lt;=$D42),$E42,0)+IF(AND(AC$4&gt;=$C43,AC$4&lt;=$D43),$E43,0)+IF(AND(AC$4&gt;=$C44,AC$4&lt;=$D44),$E44,0)+IF(AND(AC$4&gt;=$C45,AC$4&lt;=$D45),$E45,0)+IF(AND(AC$4&gt;=$C46,AC$4&lt;=$D46),$E46,0)+IF(AND(AC$4&gt;=$C47,AC$4&lt;=$D47),$E47,0)+IF(AND(AC$4&gt;=$C48,AC$4&lt;=$D48),$E48,0)+IF(AND(AC$4&gt;=$C49,AC$4&lt;=$D49),$E49,0)+IF(AND(AC$4&gt;=$C50,AC$4&lt;=$D50),$E50,0)+IF(AND(AC$4&gt;=$C51,AC$4&lt;=$D51),$E51,0)+IF(AND(AC$4&gt;=$C52,AC$4&lt;=$D52),$E52,0)+IF(AND(AC$4&gt;=$C53,AC$4&lt;=$D53),$E53,0)+IF(AND(AC$4&gt;=$C54,AC$4&lt;=$D54),$E54,0)+IF(AND(AC$4&gt;=$C55,AC$4&lt;=$D55),$E55,0)</f>
        <v>4269252.66666667</v>
      </c>
      <c r="AD58" s="11" t="n">
        <f aca="false">IF(AND(AD$4&gt;=$C6,AD$4&lt;=$D6),$E6,0)+IF(AND(AD$4&gt;=$C7,AD$4&lt;=$D7),$E7,0)+IF(AND(AD$4&gt;=$C8,AD$4&lt;=$D8),$E8,0)+IF(AND(AD$4&gt;=$C9,AD$4&lt;=$D9),$E9,0)+IF(AND(AD$4&gt;=$C10,AD$4&lt;=$D10),$E10,0)+IF(AND(AD$4&gt;=$C11,AD$4&lt;=$D11),$E11,0)+IF(AND(AD$4&gt;=$C12,AD$4&lt;=$D12),$E12,0)+IF(AND(AD$4&gt;=$C13,AD$4&lt;=$D13),$E13,0)+IF(AND(AD$4&gt;=$C14,AD$4&lt;=$D14),$E14,0)+IF(AND(AD$4&gt;=$C15,AD$4&lt;=$D15),$E15,0)+IF(AND(AD$4&gt;=$C16,AD$4&lt;=$D16),$E16,0)+IF(AND(AD$4&gt;=$C17,AD$4&lt;=$D17),$E17,0)+IF(AND(AD$4&gt;=$C18,AD$4&lt;=$D18),$E18,0)+IF(AND(AD$4&gt;=$C19,AD$4&lt;=$D19),$E19,0)+IF(AND(AD$4&gt;=$C20,AD$4&lt;=$D20),$E20,0)+IF(AND(AD$4&gt;=$C21,AD$4&lt;=$D21),$E21,0)+IF(AND(AD$4&gt;=$C22,AD$4&lt;=$D22),$E22,0)+IF(AND(AD$4&gt;=$C23,AD$4&lt;=$D23),$E23,0)+IF(AND(AD$4&gt;=$C24,AD$4&lt;=$D24),$E24,0)+IF(AND(AD$4&gt;=$C25,AD$4&lt;=$D25),$E25,0)+IF(AND(AD$4&gt;=$C26,AD$4&lt;=$D26),$E26,0)+IF(AND(AD$4&gt;=$C27,AD$4&lt;=$D27),$E27,0)+IF(AND(AD$4&gt;=$C28,AD$4&lt;=$D28),$E28,0)+IF(AND(AD$4&gt;=$C29,AD$4&lt;=$D29),$E29,0)+IF(AND(AD$4&gt;=$C32,AD$4&lt;=$D32),$E32,0)+IF(AND(AD$4&gt;=$C33,AD$4&lt;=$D33),$E33,0)+IF(AND(AD$4&gt;=$C34,AD$4&lt;=$D34),$E34,0)+IF(AND(AD$4&gt;=$C35,AD$4&lt;=$D35),$E35,0)+IF(AND(AD$4&gt;=$C36,AD$4&lt;=$D36),$E36,0)+IF(AND(AD$4&gt;=$C37,AD$4&lt;=$D37),$E37,0)+IF(AND(AD$4&gt;=$C38,AD$4&lt;=$D38),$E38,0)+IF(AND(AD$4&gt;=$C39,AD$4&lt;=$D39),$E39,0)+IF(AND(AD$4&gt;=$C40,AD$4&lt;=$D40),$E40,0)+IF(AND(AD$4&gt;=$C41,AD$4&lt;=$D41),$E41,0)+IF(AND(AD$4&gt;=$C42,AD$4&lt;=$D42),$E42,0)+IF(AND(AD$4&gt;=$C43,AD$4&lt;=$D43),$E43,0)+IF(AND(AD$4&gt;=$C44,AD$4&lt;=$D44),$E44,0)+IF(AND(AD$4&gt;=$C45,AD$4&lt;=$D45),$E45,0)+IF(AND(AD$4&gt;=$C46,AD$4&lt;=$D46),$E46,0)+IF(AND(AD$4&gt;=$C47,AD$4&lt;=$D47),$E47,0)+IF(AND(AD$4&gt;=$C48,AD$4&lt;=$D48),$E48,0)+IF(AND(AD$4&gt;=$C49,AD$4&lt;=$D49),$E49,0)+IF(AND(AD$4&gt;=$C50,AD$4&lt;=$D50),$E50,0)+IF(AND(AD$4&gt;=$C51,AD$4&lt;=$D51),$E51,0)+IF(AND(AD$4&gt;=$C52,AD$4&lt;=$D52),$E52,0)+IF(AND(AD$4&gt;=$C53,AD$4&lt;=$D53),$E53,0)+IF(AND(AD$4&gt;=$C54,AD$4&lt;=$D54),$E54,0)+IF(AND(AD$4&gt;=$C55,AD$4&lt;=$D55),$E55,0)</f>
        <v>4521999.66666667</v>
      </c>
      <c r="AE58" s="11" t="n">
        <f aca="false">IF(AND(AE$4&gt;=$C6,AE$4&lt;=$D6),$E6,0)+IF(AND(AE$4&gt;=$C7,AE$4&lt;=$D7),$E7,0)+IF(AND(AE$4&gt;=$C8,AE$4&lt;=$D8),$E8,0)+IF(AND(AE$4&gt;=$C9,AE$4&lt;=$D9),$E9,0)+IF(AND(AE$4&gt;=$C10,AE$4&lt;=$D10),$E10,0)+IF(AND(AE$4&gt;=$C11,AE$4&lt;=$D11),$E11,0)+IF(AND(AE$4&gt;=$C12,AE$4&lt;=$D12),$E12,0)+IF(AND(AE$4&gt;=$C13,AE$4&lt;=$D13),$E13,0)+IF(AND(AE$4&gt;=$C14,AE$4&lt;=$D14),$E14,0)+IF(AND(AE$4&gt;=$C15,AE$4&lt;=$D15),$E15,0)+IF(AND(AE$4&gt;=$C16,AE$4&lt;=$D16),$E16,0)+IF(AND(AE$4&gt;=$C17,AE$4&lt;=$D17),$E17,0)+IF(AND(AE$4&gt;=$C18,AE$4&lt;=$D18),$E18,0)+IF(AND(AE$4&gt;=$C19,AE$4&lt;=$D19),$E19,0)+IF(AND(AE$4&gt;=$C20,AE$4&lt;=$D20),$E20,0)+IF(AND(AE$4&gt;=$C21,AE$4&lt;=$D21),$E21,0)+IF(AND(AE$4&gt;=$C22,AE$4&lt;=$D22),$E22,0)+IF(AND(AE$4&gt;=$C23,AE$4&lt;=$D23),$E23,0)+IF(AND(AE$4&gt;=$C24,AE$4&lt;=$D24),$E24,0)+IF(AND(AE$4&gt;=$C25,AE$4&lt;=$D25),$E25,0)+IF(AND(AE$4&gt;=$C26,AE$4&lt;=$D26),$E26,0)+IF(AND(AE$4&gt;=$C27,AE$4&lt;=$D27),$E27,0)+IF(AND(AE$4&gt;=$C28,AE$4&lt;=$D28),$E28,0)+IF(AND(AE$4&gt;=$C29,AE$4&lt;=$D29),$E29,0)+IF(AND(AE$4&gt;=$C32,AE$4&lt;=$D32),$E32,0)+IF(AND(AE$4&gt;=$C33,AE$4&lt;=$D33),$E33,0)+IF(AND(AE$4&gt;=$C34,AE$4&lt;=$D34),$E34,0)+IF(AND(AE$4&gt;=$C35,AE$4&lt;=$D35),$E35,0)+IF(AND(AE$4&gt;=$C36,AE$4&lt;=$D36),$E36,0)+IF(AND(AE$4&gt;=$C37,AE$4&lt;=$D37),$E37,0)+IF(AND(AE$4&gt;=$C38,AE$4&lt;=$D38),$E38,0)+IF(AND(AE$4&gt;=$C39,AE$4&lt;=$D39),$E39,0)+IF(AND(AE$4&gt;=$C40,AE$4&lt;=$D40),$E40,0)+IF(AND(AE$4&gt;=$C41,AE$4&lt;=$D41),$E41,0)+IF(AND(AE$4&gt;=$C42,AE$4&lt;=$D42),$E42,0)+IF(AND(AE$4&gt;=$C43,AE$4&lt;=$D43),$E43,0)+IF(AND(AE$4&gt;=$C44,AE$4&lt;=$D44),$E44,0)+IF(AND(AE$4&gt;=$C45,AE$4&lt;=$D45),$E45,0)+IF(AND(AE$4&gt;=$C46,AE$4&lt;=$D46),$E46,0)+IF(AND(AE$4&gt;=$C47,AE$4&lt;=$D47),$E47,0)+IF(AND(AE$4&gt;=$C48,AE$4&lt;=$D48),$E48,0)+IF(AND(AE$4&gt;=$C49,AE$4&lt;=$D49),$E49,0)+IF(AND(AE$4&gt;=$C50,AE$4&lt;=$D50),$E50,0)+IF(AND(AE$4&gt;=$C51,AE$4&lt;=$D51),$E51,0)+IF(AND(AE$4&gt;=$C52,AE$4&lt;=$D52),$E52,0)+IF(AND(AE$4&gt;=$C53,AE$4&lt;=$D53),$E53,0)+IF(AND(AE$4&gt;=$C54,AE$4&lt;=$D54),$E54,0)+IF(AND(AE$4&gt;=$C55,AE$4&lt;=$D55),$E55,0)</f>
        <v>4774746.66666667</v>
      </c>
      <c r="AF58" s="11" t="n">
        <f aca="false">IF(AND(AF$4&gt;=$C6,AF$4&lt;=$D6),$E6,0)+IF(AND(AF$4&gt;=$C7,AF$4&lt;=$D7),$E7,0)+IF(AND(AF$4&gt;=$C8,AF$4&lt;=$D8),$E8,0)+IF(AND(AF$4&gt;=$C9,AF$4&lt;=$D9),$E9,0)+IF(AND(AF$4&gt;=$C10,AF$4&lt;=$D10),$E10,0)+IF(AND(AF$4&gt;=$C11,AF$4&lt;=$D11),$E11,0)+IF(AND(AF$4&gt;=$C12,AF$4&lt;=$D12),$E12,0)+IF(AND(AF$4&gt;=$C13,AF$4&lt;=$D13),$E13,0)+IF(AND(AF$4&gt;=$C14,AF$4&lt;=$D14),$E14,0)+IF(AND(AF$4&gt;=$C15,AF$4&lt;=$D15),$E15,0)+IF(AND(AF$4&gt;=$C16,AF$4&lt;=$D16),$E16,0)+IF(AND(AF$4&gt;=$C17,AF$4&lt;=$D17),$E17,0)+IF(AND(AF$4&gt;=$C18,AF$4&lt;=$D18),$E18,0)+IF(AND(AF$4&gt;=$C19,AF$4&lt;=$D19),$E19,0)+IF(AND(AF$4&gt;=$C20,AF$4&lt;=$D20),$E20,0)+IF(AND(AF$4&gt;=$C21,AF$4&lt;=$D21),$E21,0)+IF(AND(AF$4&gt;=$C22,AF$4&lt;=$D22),$E22,0)+IF(AND(AF$4&gt;=$C23,AF$4&lt;=$D23),$E23,0)+IF(AND(AF$4&gt;=$C24,AF$4&lt;=$D24),$E24,0)+IF(AND(AF$4&gt;=$C25,AF$4&lt;=$D25),$E25,0)+IF(AND(AF$4&gt;=$C26,AF$4&lt;=$D26),$E26,0)+IF(AND(AF$4&gt;=$C27,AF$4&lt;=$D27),$E27,0)+IF(AND(AF$4&gt;=$C28,AF$4&lt;=$D28),$E28,0)+IF(AND(AF$4&gt;=$C29,AF$4&lt;=$D29),$E29,0)+IF(AND(AF$4&gt;=$C32,AF$4&lt;=$D32),$E32,0)+IF(AND(AF$4&gt;=$C33,AF$4&lt;=$D33),$E33,0)+IF(AND(AF$4&gt;=$C34,AF$4&lt;=$D34),$E34,0)+IF(AND(AF$4&gt;=$C35,AF$4&lt;=$D35),$E35,0)+IF(AND(AF$4&gt;=$C36,AF$4&lt;=$D36),$E36,0)+IF(AND(AF$4&gt;=$C37,AF$4&lt;=$D37),$E37,0)+IF(AND(AF$4&gt;=$C38,AF$4&lt;=$D38),$E38,0)+IF(AND(AF$4&gt;=$C39,AF$4&lt;=$D39),$E39,0)+IF(AND(AF$4&gt;=$C40,AF$4&lt;=$D40),$E40,0)+IF(AND(AF$4&gt;=$C41,AF$4&lt;=$D41),$E41,0)+IF(AND(AF$4&gt;=$C42,AF$4&lt;=$D42),$E42,0)+IF(AND(AF$4&gt;=$C43,AF$4&lt;=$D43),$E43,0)+IF(AND(AF$4&gt;=$C44,AF$4&lt;=$D44),$E44,0)+IF(AND(AF$4&gt;=$C45,AF$4&lt;=$D45),$E45,0)+IF(AND(AF$4&gt;=$C46,AF$4&lt;=$D46),$E46,0)+IF(AND(AF$4&gt;=$C47,AF$4&lt;=$D47),$E47,0)+IF(AND(AF$4&gt;=$C48,AF$4&lt;=$D48),$E48,0)+IF(AND(AF$4&gt;=$C49,AF$4&lt;=$D49),$E49,0)+IF(AND(AF$4&gt;=$C50,AF$4&lt;=$D50),$E50,0)+IF(AND(AF$4&gt;=$C51,AF$4&lt;=$D51),$E51,0)+IF(AND(AF$4&gt;=$C52,AF$4&lt;=$D52),$E52,0)+IF(AND(AF$4&gt;=$C53,AF$4&lt;=$D53),$E53,0)+IF(AND(AF$4&gt;=$C54,AF$4&lt;=$D54),$E54,0)+IF(AND(AF$4&gt;=$C55,AF$4&lt;=$D55),$E55,0)</f>
        <v>5027493.66666667</v>
      </c>
      <c r="AG58" s="11" t="n">
        <f aca="false">IF(AND(AG$4&gt;=$C6,AG$4&lt;=$D6),$E6,0)+IF(AND(AG$4&gt;=$C7,AG$4&lt;=$D7),$E7,0)+IF(AND(AG$4&gt;=$C8,AG$4&lt;=$D8),$E8,0)+IF(AND(AG$4&gt;=$C9,AG$4&lt;=$D9),$E9,0)+IF(AND(AG$4&gt;=$C10,AG$4&lt;=$D10),$E10,0)+IF(AND(AG$4&gt;=$C11,AG$4&lt;=$D11),$E11,0)+IF(AND(AG$4&gt;=$C12,AG$4&lt;=$D12),$E12,0)+IF(AND(AG$4&gt;=$C13,AG$4&lt;=$D13),$E13,0)+IF(AND(AG$4&gt;=$C14,AG$4&lt;=$D14),$E14,0)+IF(AND(AG$4&gt;=$C15,AG$4&lt;=$D15),$E15,0)+IF(AND(AG$4&gt;=$C16,AG$4&lt;=$D16),$E16,0)+IF(AND(AG$4&gt;=$C17,AG$4&lt;=$D17),$E17,0)+IF(AND(AG$4&gt;=$C18,AG$4&lt;=$D18),$E18,0)+IF(AND(AG$4&gt;=$C19,AG$4&lt;=$D19),$E19,0)+IF(AND(AG$4&gt;=$C20,AG$4&lt;=$D20),$E20,0)+IF(AND(AG$4&gt;=$C21,AG$4&lt;=$D21),$E21,0)+IF(AND(AG$4&gt;=$C22,AG$4&lt;=$D22),$E22,0)+IF(AND(AG$4&gt;=$C23,AG$4&lt;=$D23),$E23,0)+IF(AND(AG$4&gt;=$C24,AG$4&lt;=$D24),$E24,0)+IF(AND(AG$4&gt;=$C25,AG$4&lt;=$D25),$E25,0)+IF(AND(AG$4&gt;=$C26,AG$4&lt;=$D26),$E26,0)+IF(AND(AG$4&gt;=$C27,AG$4&lt;=$D27),$E27,0)+IF(AND(AG$4&gt;=$C28,AG$4&lt;=$D28),$E28,0)+IF(AND(AG$4&gt;=$C29,AG$4&lt;=$D29),$E29,0)+IF(AND(AG$4&gt;=$C32,AG$4&lt;=$D32),$E32,0)+IF(AND(AG$4&gt;=$C33,AG$4&lt;=$D33),$E33,0)+IF(AND(AG$4&gt;=$C34,AG$4&lt;=$D34),$E34,0)+IF(AND(AG$4&gt;=$C35,AG$4&lt;=$D35),$E35,0)+IF(AND(AG$4&gt;=$C36,AG$4&lt;=$D36),$E36,0)+IF(AND(AG$4&gt;=$C37,AG$4&lt;=$D37),$E37,0)+IF(AND(AG$4&gt;=$C38,AG$4&lt;=$D38),$E38,0)+IF(AND(AG$4&gt;=$C39,AG$4&lt;=$D39),$E39,0)+IF(AND(AG$4&gt;=$C40,AG$4&lt;=$D40),$E40,0)+IF(AND(AG$4&gt;=$C41,AG$4&lt;=$D41),$E41,0)+IF(AND(AG$4&gt;=$C42,AG$4&lt;=$D42),$E42,0)+IF(AND(AG$4&gt;=$C43,AG$4&lt;=$D43),$E43,0)+IF(AND(AG$4&gt;=$C44,AG$4&lt;=$D44),$E44,0)+IF(AND(AG$4&gt;=$C45,AG$4&lt;=$D45),$E45,0)+IF(AND(AG$4&gt;=$C46,AG$4&lt;=$D46),$E46,0)+IF(AND(AG$4&gt;=$C47,AG$4&lt;=$D47),$E47,0)+IF(AND(AG$4&gt;=$C48,AG$4&lt;=$D48),$E48,0)+IF(AND(AG$4&gt;=$C49,AG$4&lt;=$D49),$E49,0)+IF(AND(AG$4&gt;=$C50,AG$4&lt;=$D50),$E50,0)+IF(AND(AG$4&gt;=$C51,AG$4&lt;=$D51),$E51,0)+IF(AND(AG$4&gt;=$C52,AG$4&lt;=$D52),$E52,0)+IF(AND(AG$4&gt;=$C53,AG$4&lt;=$D53),$E53,0)+IF(AND(AG$4&gt;=$C54,AG$4&lt;=$D54),$E54,0)+IF(AND(AG$4&gt;=$C55,AG$4&lt;=$D55),$E55,0)</f>
        <v>5280240.66666667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5"/>
  </cols>
  <sheetData>
    <row r="1" customFormat="false" ht="17.35" hidden="false" customHeight="false" outlineLevel="0" collapsed="false">
      <c r="A1" s="1" t="s">
        <v>106</v>
      </c>
    </row>
    <row r="2" customFormat="false" ht="15" hidden="false" customHeight="false" outlineLevel="0" collapsed="false">
      <c r="A2" s="2" t="s">
        <v>107</v>
      </c>
    </row>
    <row r="4" customFormat="false" ht="15" hidden="false" customHeight="false" outlineLevel="0" collapsed="false">
      <c r="A4" s="6" t="s">
        <v>108</v>
      </c>
      <c r="B4" s="14" t="s">
        <v>109</v>
      </c>
      <c r="C4" s="14" t="s">
        <v>110</v>
      </c>
    </row>
    <row r="5" customFormat="false" ht="15" hidden="false" customHeight="false" outlineLevel="0" collapsed="false">
      <c r="A5" s="6" t="s">
        <v>111</v>
      </c>
      <c r="B5" s="4" t="n">
        <v>0</v>
      </c>
      <c r="C5" s="10" t="n">
        <f aca="false">B11</f>
        <v>2256166.66666667</v>
      </c>
    </row>
    <row r="6" customFormat="false" ht="15" hidden="false" customHeight="false" outlineLevel="0" collapsed="false">
      <c r="A6" s="6" t="s">
        <v>112</v>
      </c>
      <c r="B6" s="16" t="n">
        <f aca="false">SUMIFS('Revenue Recognition'!E6:E29,'Revenue Recognition'!C6:C29,"&gt;="&amp;1,'Revenue Recognition'!C6:C29,"&lt;="&amp;12)</f>
        <v>2256166.66666667</v>
      </c>
      <c r="C6" s="16" t="n">
        <f aca="false">SUMIFS('Revenue Recognition'!E6:E29,'Revenue Recognition'!C6:C29,"&gt;="&amp;13,'Revenue Recognition'!C6:C29,"&lt;="&amp;24)</f>
        <v>2997000</v>
      </c>
    </row>
    <row r="7" customFormat="false" ht="15" hidden="false" customHeight="false" outlineLevel="0" collapsed="false">
      <c r="A7" s="6" t="s">
        <v>113</v>
      </c>
      <c r="B7" s="16" t="n">
        <f aca="false">SUMIFS('Revenue Recognition'!H32:H55,'Revenue Recognition'!D6:D29,"&gt;="&amp;1,'Revenue Recognition'!D6:D29,"&lt;="&amp;12)</f>
        <v>0</v>
      </c>
      <c r="C7" s="16" t="n">
        <f aca="false">SUMIFS('Revenue Recognition'!H32:H55,'Revenue Recognition'!D6:D29,"&gt;="&amp;13,'Revenue Recognition'!D6:D29,"&lt;="&amp;24)</f>
        <v>396937.2</v>
      </c>
    </row>
    <row r="8" customFormat="false" ht="15" hidden="false" customHeight="false" outlineLevel="0" collapsed="false">
      <c r="A8" s="6" t="s">
        <v>114</v>
      </c>
      <c r="B8" s="16" t="n">
        <f aca="false">SUMIFS('Revenue Recognition'!I32:I55,'Revenue Recognition'!D6:D29,"&gt;="&amp;1,'Revenue Recognition'!D6:D29,"&lt;="&amp;12)</f>
        <v>0</v>
      </c>
      <c r="C8" s="16" t="n">
        <f aca="false">SUMIFS('Revenue Recognition'!I32:I55,'Revenue Recognition'!D6:D29,"&gt;="&amp;13,'Revenue Recognition'!D6:D29,"&lt;="&amp;24)</f>
        <v>66156.2</v>
      </c>
    </row>
    <row r="9" customFormat="false" ht="15" hidden="false" customHeight="false" outlineLevel="0" collapsed="false">
      <c r="A9" s="6" t="s">
        <v>115</v>
      </c>
      <c r="B9" s="16" t="n">
        <f aca="false">SUMIFS('Revenue Recognition'!F32:F55,'Revenue Recognition'!D6:D29,"&gt;="&amp;1,'Revenue Recognition'!D6:D29,"&lt;="&amp;12)</f>
        <v>0</v>
      </c>
      <c r="C9" s="16" t="n">
        <f aca="false">SUMIFS('Revenue Recognition'!F32:F55,'Revenue Recognition'!D6:D29,"&gt;="&amp;13,'Revenue Recognition'!D6:D29,"&lt;="&amp;24)</f>
        <v>300710</v>
      </c>
    </row>
    <row r="10" customFormat="false" ht="15" hidden="false" customHeight="false" outlineLevel="0" collapsed="false">
      <c r="A10" s="15" t="s">
        <v>116</v>
      </c>
      <c r="B10" s="10" t="n">
        <f aca="false">B11-(B5+B6+B7-B8-B9)</f>
        <v>0</v>
      </c>
      <c r="C10" s="10" t="n">
        <f aca="false">C11-(C5+C6+C7-C8-C9)</f>
        <v>-2996.99999999907</v>
      </c>
    </row>
    <row r="11" customFormat="false" ht="15" hidden="false" customHeight="false" outlineLevel="0" collapsed="false">
      <c r="A11" s="6" t="s">
        <v>117</v>
      </c>
      <c r="B11" s="16" t="n">
        <f aca="false">'Revenue Recognition'!U58</f>
        <v>2256166.66666667</v>
      </c>
      <c r="C11" s="16" t="n">
        <f aca="false">'Revenue Recognition'!AG58</f>
        <v>5280240.66666667</v>
      </c>
    </row>
    <row r="12" customFormat="false" ht="15" hidden="false" customHeight="false" outlineLevel="0" collapsed="false">
      <c r="A12" s="15"/>
    </row>
    <row r="13" customFormat="false" ht="15" hidden="false" customHeight="false" outlineLevel="0" collapsed="false">
      <c r="A13" s="6" t="s">
        <v>118</v>
      </c>
      <c r="B13" s="9" t="str">
        <f aca="false">IFERROR((B5+B7-B8-B9)/B5,"N/A")</f>
        <v>N/A</v>
      </c>
      <c r="C13" s="9" t="n">
        <f aca="false">IFERROR((C5+C7-C8-C9)/C5,"N/A")</f>
        <v>1.01332835931152</v>
      </c>
    </row>
    <row r="14" customFormat="false" ht="15" hidden="false" customHeight="false" outlineLevel="0" collapsed="false">
      <c r="A14" s="6" t="s">
        <v>119</v>
      </c>
      <c r="B14" s="9" t="str">
        <f aca="false">IFERROR(B9/B5,"N/A")</f>
        <v>N/A</v>
      </c>
      <c r="C14" s="9" t="n">
        <f aca="false">IFERROR(C9/C5,"N/A")</f>
        <v>0.133283593115166</v>
      </c>
    </row>
    <row r="15" customFormat="false" ht="15" hidden="false" customHeight="false" outlineLevel="0" collapsed="false">
      <c r="A15" s="15"/>
    </row>
    <row r="16" customFormat="false" ht="15" hidden="false" customHeight="false" outlineLevel="0" collapsed="false">
      <c r="A16" s="6" t="s">
        <v>120</v>
      </c>
      <c r="B16" s="16" t="n">
        <f aca="false">SUM('Revenue Recognition'!J57:U57)</f>
        <v>971194.444444445</v>
      </c>
      <c r="C16" s="16" t="n">
        <f aca="false">SUM('Revenue Recognition'!V57:AG57)</f>
        <v>3891196</v>
      </c>
    </row>
    <row r="19" customFormat="false" ht="15" hidden="false" customHeight="false" outlineLevel="0" collapsed="false">
      <c r="A19" s="17" t="s">
        <v>121</v>
      </c>
    </row>
    <row r="20" customFormat="false" ht="15" hidden="false" customHeight="false" outlineLevel="0" collapsed="false">
      <c r="A20" s="15" t="s">
        <v>111</v>
      </c>
      <c r="B20" s="16" t="n">
        <f aca="false">C5</f>
        <v>2256166.66666667</v>
      </c>
    </row>
    <row r="21" customFormat="false" ht="15" hidden="false" customHeight="false" outlineLevel="0" collapsed="false">
      <c r="A21" s="15" t="s">
        <v>122</v>
      </c>
      <c r="B21" s="16" t="n">
        <f aca="false">C6</f>
        <v>2997000</v>
      </c>
    </row>
    <row r="22" customFormat="false" ht="15" hidden="false" customHeight="false" outlineLevel="0" collapsed="false">
      <c r="A22" s="15" t="s">
        <v>123</v>
      </c>
      <c r="B22" s="16" t="n">
        <f aca="false">C7</f>
        <v>396937.2</v>
      </c>
    </row>
    <row r="23" customFormat="false" ht="15" hidden="false" customHeight="false" outlineLevel="0" collapsed="false">
      <c r="A23" s="15" t="s">
        <v>124</v>
      </c>
      <c r="B23" s="16" t="n">
        <f aca="false">C8</f>
        <v>66156.2</v>
      </c>
    </row>
    <row r="24" customFormat="false" ht="15" hidden="false" customHeight="false" outlineLevel="0" collapsed="false">
      <c r="A24" s="15" t="s">
        <v>125</v>
      </c>
      <c r="B24" s="16" t="n">
        <f aca="false">C9</f>
        <v>300710</v>
      </c>
    </row>
    <row r="25" customFormat="false" ht="15" hidden="false" customHeight="false" outlineLevel="0" collapsed="false">
      <c r="A25" s="15" t="s">
        <v>126</v>
      </c>
      <c r="B25" s="16" t="n">
        <f aca="false">C10</f>
        <v>-2996.99999999907</v>
      </c>
    </row>
    <row r="26" customFormat="false" ht="15" hidden="false" customHeight="false" outlineLevel="0" collapsed="false">
      <c r="A26" s="6" t="s">
        <v>127</v>
      </c>
      <c r="B26" s="16" t="n">
        <f aca="false">C11</f>
        <v>5280240.66666667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2026-08-10T13:44:12Z</dcterms:created>
  <dc:creator>openpyxl</dc:creator>
  <dc:description/>
  <dc:language>en-US</dc:language>
  <cp:lastModifiedBy/>
  <dcterms:modified xsi:type="dcterms:W3CDTF">2026-08-10T13:44:13Z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